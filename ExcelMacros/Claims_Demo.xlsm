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602" codeName="{00000000-0000-0000-0000-000000000000}"/>
  <workbookPr codeName="ThisWorkbook" defaultThemeVersion="124226"/>
  <xr:revisionPtr revIDLastSave="0" documentId="11_A33BA16B7C0EE076A7C9C67EE3F1A65CA5EA2B8F" xr6:coauthVersionLast="47" xr6:coauthVersionMax="47" xr10:uidLastSave="{00000000-0000-0000-0000-000000000000}"/>
  <bookViews>
    <workbookView xWindow="240" yWindow="15" windowWidth="24000" windowHeight="15000" xr2:uid="{00000000-000D-0000-FFFF-FFFF00000000}"/>
  </bookViews>
  <sheets>
    <sheet name="Dashboard" sheetId="1" r:id="rId1"/>
    <sheet name="Claims_Data" sheetId="2" r:id="rId2"/>
    <sheet name="Demo_Guide" sheetId="3" r:id="rId3"/>
    <sheet name="Lookups" sheetId="4" r:id="rId4"/>
    <sheet name="Macro_Log" sheetId="5" r:id="rId5"/>
    <sheet name="Claims_Backup" sheetId="6" state="hidden" r:id="rId6"/>
  </sheets>
  <definedNames>
    <definedName name="_xlnm._FilterDatabase" localSheetId="1" hidden="1">Claims_Data!$A$1:$AB$59</definedName>
    <definedName name="AutoApprove_Limit">Lookups!$B$16</definedName>
    <definedName name="Dash_LastRun">Dashboard!$J$29</definedName>
    <definedName name="HighValue_Limit">Lookups!$B$17</definedName>
    <definedName name="List_Adjuster">Lookups!$H$5:$H$10</definedName>
    <definedName name="List_ClaimType">Lookups!$D$5:$D$10</definedName>
    <definedName name="List_Network">Lookups!$F$5:$F$6</definedName>
    <definedName name="List_Plan">Lookups!$E$5:$E$8</definedName>
    <definedName name="List_PolicyStatus">Lookups!$I$5:$I$6</definedName>
    <definedName name="List_Priority">Lookups!$G$5:$G$7</definedName>
    <definedName name="List_Status">Lookups!$A$5:$A$10</definedName>
    <definedName name="OON_Factor">Lookups!$B$18</definedName>
    <definedName name="SLA_Days">Lookups!$B$15</definedName>
    <definedName name="Tbl_AllowedPct">Lookups!$A$23:$B$28</definedName>
    <definedName name="Tbl_PlanPays">Lookups!$D$23:$E$26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59" i="6" l="1"/>
  <c r="Z59" i="6" s="1"/>
  <c r="S59" i="6"/>
  <c r="X58" i="6"/>
  <c r="Z58" i="6" s="1"/>
  <c r="S58" i="6"/>
  <c r="X57" i="6"/>
  <c r="Z57" i="6" s="1"/>
  <c r="S57" i="6"/>
  <c r="X56" i="6"/>
  <c r="Z56" i="6" s="1"/>
  <c r="S56" i="6"/>
  <c r="X55" i="6"/>
  <c r="Z55" i="6" s="1"/>
  <c r="S55" i="6"/>
  <c r="X54" i="6"/>
  <c r="Z54" i="6" s="1"/>
  <c r="S54" i="6"/>
  <c r="X53" i="6"/>
  <c r="Z53" i="6" s="1"/>
  <c r="S53" i="6"/>
  <c r="X52" i="6"/>
  <c r="Z52" i="6" s="1"/>
  <c r="S52" i="6"/>
  <c r="X51" i="6"/>
  <c r="Z51" i="6" s="1"/>
  <c r="S51" i="6"/>
  <c r="X50" i="6"/>
  <c r="Z50" i="6" s="1"/>
  <c r="S50" i="6"/>
  <c r="X49" i="6"/>
  <c r="Z49" i="6" s="1"/>
  <c r="S49" i="6"/>
  <c r="X48" i="6"/>
  <c r="Z48" i="6" s="1"/>
  <c r="S48" i="6"/>
  <c r="X47" i="6"/>
  <c r="Z47" i="6" s="1"/>
  <c r="S47" i="6"/>
  <c r="X46" i="6"/>
  <c r="Z46" i="6" s="1"/>
  <c r="S46" i="6"/>
  <c r="X45" i="6"/>
  <c r="Z45" i="6" s="1"/>
  <c r="S45" i="6"/>
  <c r="X44" i="6"/>
  <c r="Z44" i="6" s="1"/>
  <c r="S44" i="6"/>
  <c r="X43" i="6"/>
  <c r="Z43" i="6" s="1"/>
  <c r="S43" i="6"/>
  <c r="X42" i="6"/>
  <c r="Z42" i="6" s="1"/>
  <c r="S42" i="6"/>
  <c r="X41" i="6"/>
  <c r="Z41" i="6" s="1"/>
  <c r="S41" i="6"/>
  <c r="X40" i="6"/>
  <c r="Z40" i="6" s="1"/>
  <c r="S40" i="6"/>
  <c r="X39" i="6"/>
  <c r="Z39" i="6" s="1"/>
  <c r="S39" i="6"/>
  <c r="X38" i="6"/>
  <c r="Z38" i="6" s="1"/>
  <c r="S38" i="6"/>
  <c r="X37" i="6"/>
  <c r="Z37" i="6" s="1"/>
  <c r="S37" i="6"/>
  <c r="X36" i="6"/>
  <c r="Z36" i="6" s="1"/>
  <c r="S36" i="6"/>
  <c r="X35" i="6"/>
  <c r="Z35" i="6" s="1"/>
  <c r="S35" i="6"/>
  <c r="X34" i="6"/>
  <c r="Z34" i="6" s="1"/>
  <c r="S34" i="6"/>
  <c r="X33" i="6"/>
  <c r="Z33" i="6" s="1"/>
  <c r="S33" i="6"/>
  <c r="X32" i="6"/>
  <c r="Z32" i="6" s="1"/>
  <c r="S32" i="6"/>
  <c r="X31" i="6"/>
  <c r="Z31" i="6" s="1"/>
  <c r="S31" i="6"/>
  <c r="X30" i="6"/>
  <c r="Z30" i="6" s="1"/>
  <c r="S30" i="6"/>
  <c r="X29" i="6"/>
  <c r="Z29" i="6" s="1"/>
  <c r="S29" i="6"/>
  <c r="X28" i="6"/>
  <c r="Z28" i="6" s="1"/>
  <c r="S28" i="6"/>
  <c r="X27" i="6"/>
  <c r="Z27" i="6" s="1"/>
  <c r="S27" i="6"/>
  <c r="X26" i="6"/>
  <c r="Z26" i="6" s="1"/>
  <c r="S26" i="6"/>
  <c r="X25" i="6"/>
  <c r="Z25" i="6" s="1"/>
  <c r="S25" i="6"/>
  <c r="X24" i="6"/>
  <c r="Z24" i="6" s="1"/>
  <c r="S24" i="6"/>
  <c r="X23" i="6"/>
  <c r="Z23" i="6" s="1"/>
  <c r="S23" i="6"/>
  <c r="X22" i="6"/>
  <c r="Z22" i="6" s="1"/>
  <c r="S22" i="6"/>
  <c r="X21" i="6"/>
  <c r="Z21" i="6" s="1"/>
  <c r="S21" i="6"/>
  <c r="X20" i="6"/>
  <c r="Z20" i="6" s="1"/>
  <c r="S20" i="6"/>
  <c r="X19" i="6"/>
  <c r="Z19" i="6" s="1"/>
  <c r="S19" i="6"/>
  <c r="X18" i="6"/>
  <c r="Z18" i="6" s="1"/>
  <c r="S18" i="6"/>
  <c r="X17" i="6"/>
  <c r="Z17" i="6" s="1"/>
  <c r="S17" i="6"/>
  <c r="X16" i="6"/>
  <c r="Z16" i="6" s="1"/>
  <c r="S16" i="6"/>
  <c r="X15" i="6"/>
  <c r="Z15" i="6" s="1"/>
  <c r="S15" i="6"/>
  <c r="X14" i="6"/>
  <c r="Z14" i="6" s="1"/>
  <c r="S14" i="6"/>
  <c r="X13" i="6"/>
  <c r="Z13" i="6" s="1"/>
  <c r="S13" i="6"/>
  <c r="X12" i="6"/>
  <c r="Z12" i="6" s="1"/>
  <c r="S12" i="6"/>
  <c r="X11" i="6"/>
  <c r="Z11" i="6" s="1"/>
  <c r="S11" i="6"/>
  <c r="X10" i="6"/>
  <c r="Z10" i="6" s="1"/>
  <c r="S10" i="6"/>
  <c r="X9" i="6"/>
  <c r="Z9" i="6" s="1"/>
  <c r="S9" i="6"/>
  <c r="X8" i="6"/>
  <c r="Z8" i="6" s="1"/>
  <c r="S8" i="6"/>
  <c r="X7" i="6"/>
  <c r="Z7" i="6" s="1"/>
  <c r="S7" i="6"/>
  <c r="X6" i="6"/>
  <c r="Z6" i="6" s="1"/>
  <c r="S6" i="6"/>
  <c r="X5" i="6"/>
  <c r="Z5" i="6" s="1"/>
  <c r="S5" i="6"/>
  <c r="X4" i="6"/>
  <c r="Z4" i="6" s="1"/>
  <c r="S4" i="6"/>
  <c r="X3" i="6"/>
  <c r="Z3" i="6" s="1"/>
  <c r="S3" i="6"/>
  <c r="X2" i="6"/>
  <c r="Z2" i="6" s="1"/>
  <c r="S2" i="6"/>
  <c r="X59" i="2"/>
  <c r="Z59" i="2" s="1"/>
  <c r="S59" i="2"/>
  <c r="X58" i="2"/>
  <c r="Z58" i="2" s="1"/>
  <c r="S58" i="2"/>
  <c r="X57" i="2"/>
  <c r="Z57" i="2" s="1"/>
  <c r="S57" i="2"/>
  <c r="X56" i="2"/>
  <c r="Z56" i="2" s="1"/>
  <c r="S56" i="2"/>
  <c r="X55" i="2"/>
  <c r="Z55" i="2" s="1"/>
  <c r="S55" i="2"/>
  <c r="X54" i="2"/>
  <c r="Z54" i="2" s="1"/>
  <c r="S54" i="2"/>
  <c r="X53" i="2"/>
  <c r="Z53" i="2" s="1"/>
  <c r="S53" i="2"/>
  <c r="X52" i="2"/>
  <c r="Z52" i="2" s="1"/>
  <c r="S52" i="2"/>
  <c r="X51" i="2"/>
  <c r="Z51" i="2" s="1"/>
  <c r="S51" i="2"/>
  <c r="X50" i="2"/>
  <c r="Z50" i="2" s="1"/>
  <c r="S50" i="2"/>
  <c r="X49" i="2"/>
  <c r="Z49" i="2" s="1"/>
  <c r="S49" i="2"/>
  <c r="X48" i="2"/>
  <c r="Z48" i="2" s="1"/>
  <c r="S48" i="2"/>
  <c r="X47" i="2"/>
  <c r="Z47" i="2" s="1"/>
  <c r="S47" i="2"/>
  <c r="X46" i="2"/>
  <c r="Z46" i="2" s="1"/>
  <c r="S46" i="2"/>
  <c r="X45" i="2"/>
  <c r="Z45" i="2" s="1"/>
  <c r="S45" i="2"/>
  <c r="X44" i="2"/>
  <c r="Z44" i="2" s="1"/>
  <c r="S44" i="2"/>
  <c r="X43" i="2"/>
  <c r="Z43" i="2" s="1"/>
  <c r="S43" i="2"/>
  <c r="X42" i="2"/>
  <c r="Z42" i="2" s="1"/>
  <c r="S42" i="2"/>
  <c r="X41" i="2"/>
  <c r="Z41" i="2" s="1"/>
  <c r="S41" i="2"/>
  <c r="X40" i="2"/>
  <c r="Z40" i="2" s="1"/>
  <c r="S40" i="2"/>
  <c r="X39" i="2"/>
  <c r="Z39" i="2" s="1"/>
  <c r="S39" i="2"/>
  <c r="X38" i="2"/>
  <c r="Z38" i="2" s="1"/>
  <c r="S38" i="2"/>
  <c r="X37" i="2"/>
  <c r="Z37" i="2" s="1"/>
  <c r="S37" i="2"/>
  <c r="X36" i="2"/>
  <c r="Z36" i="2" s="1"/>
  <c r="S36" i="2"/>
  <c r="X35" i="2"/>
  <c r="Z35" i="2" s="1"/>
  <c r="S35" i="2"/>
  <c r="X34" i="2"/>
  <c r="Z34" i="2" s="1"/>
  <c r="S34" i="2"/>
  <c r="X33" i="2"/>
  <c r="Z33" i="2" s="1"/>
  <c r="S33" i="2"/>
  <c r="X32" i="2"/>
  <c r="Z32" i="2" s="1"/>
  <c r="S32" i="2"/>
  <c r="X31" i="2"/>
  <c r="Z31" i="2" s="1"/>
  <c r="S31" i="2"/>
  <c r="X30" i="2"/>
  <c r="Z30" i="2" s="1"/>
  <c r="S30" i="2"/>
  <c r="X29" i="2"/>
  <c r="Z29" i="2" s="1"/>
  <c r="S29" i="2"/>
  <c r="X28" i="2"/>
  <c r="Z28" i="2" s="1"/>
  <c r="S28" i="2"/>
  <c r="X27" i="2"/>
  <c r="Z27" i="2" s="1"/>
  <c r="S27" i="2"/>
  <c r="X26" i="2"/>
  <c r="Z26" i="2" s="1"/>
  <c r="S26" i="2"/>
  <c r="X25" i="2"/>
  <c r="Z25" i="2" s="1"/>
  <c r="S25" i="2"/>
  <c r="X24" i="2"/>
  <c r="Z24" i="2" s="1"/>
  <c r="S24" i="2"/>
  <c r="X23" i="2"/>
  <c r="Z23" i="2" s="1"/>
  <c r="S23" i="2"/>
  <c r="X22" i="2"/>
  <c r="Z22" i="2" s="1"/>
  <c r="S22" i="2"/>
  <c r="X21" i="2"/>
  <c r="Z21" i="2" s="1"/>
  <c r="S21" i="2"/>
  <c r="X20" i="2"/>
  <c r="Z20" i="2" s="1"/>
  <c r="S20" i="2"/>
  <c r="X19" i="2"/>
  <c r="Z19" i="2" s="1"/>
  <c r="S19" i="2"/>
  <c r="X18" i="2"/>
  <c r="Z18" i="2" s="1"/>
  <c r="S18" i="2"/>
  <c r="X17" i="2"/>
  <c r="Z17" i="2" s="1"/>
  <c r="S17" i="2"/>
  <c r="X16" i="2"/>
  <c r="Z16" i="2" s="1"/>
  <c r="S16" i="2"/>
  <c r="X15" i="2"/>
  <c r="Z15" i="2" s="1"/>
  <c r="S15" i="2"/>
  <c r="X14" i="2"/>
  <c r="Z14" i="2" s="1"/>
  <c r="S14" i="2"/>
  <c r="X13" i="2"/>
  <c r="Z13" i="2" s="1"/>
  <c r="S13" i="2"/>
  <c r="X12" i="2"/>
  <c r="Z12" i="2" s="1"/>
  <c r="S12" i="2"/>
  <c r="X11" i="2"/>
  <c r="Z11" i="2" s="1"/>
  <c r="S11" i="2"/>
  <c r="X10" i="2"/>
  <c r="Z10" i="2" s="1"/>
  <c r="S10" i="2"/>
  <c r="X9" i="2"/>
  <c r="Z9" i="2" s="1"/>
  <c r="S9" i="2"/>
  <c r="X8" i="2"/>
  <c r="Z8" i="2" s="1"/>
  <c r="S8" i="2"/>
  <c r="X7" i="2"/>
  <c r="Z7" i="2" s="1"/>
  <c r="S7" i="2"/>
  <c r="X6" i="2"/>
  <c r="Z6" i="2" s="1"/>
  <c r="S6" i="2"/>
  <c r="X5" i="2"/>
  <c r="Z5" i="2" s="1"/>
  <c r="S5" i="2"/>
  <c r="X4" i="2"/>
  <c r="Z4" i="2" s="1"/>
  <c r="S4" i="2"/>
  <c r="X3" i="2"/>
  <c r="Z3" i="2" s="1"/>
  <c r="S3" i="2"/>
  <c r="X2" i="2"/>
  <c r="Z2" i="2" s="1"/>
  <c r="S2" i="2"/>
  <c r="E37" i="1"/>
  <c r="D37" i="1"/>
  <c r="C37" i="1"/>
  <c r="E36" i="1"/>
  <c r="D36" i="1"/>
  <c r="C36" i="1"/>
  <c r="E35" i="1"/>
  <c r="D35" i="1"/>
  <c r="C35" i="1"/>
  <c r="E34" i="1"/>
  <c r="D34" i="1"/>
  <c r="C34" i="1"/>
  <c r="E33" i="1"/>
  <c r="D33" i="1"/>
  <c r="C33" i="1"/>
  <c r="E32" i="1"/>
  <c r="D32" i="1"/>
  <c r="C32" i="1"/>
  <c r="E26" i="1"/>
  <c r="D26" i="1"/>
  <c r="C26" i="1"/>
  <c r="E25" i="1"/>
  <c r="D25" i="1"/>
  <c r="C25" i="1"/>
  <c r="E24" i="1"/>
  <c r="D24" i="1"/>
  <c r="C24" i="1"/>
  <c r="E23" i="1"/>
  <c r="D23" i="1"/>
  <c r="C23" i="1"/>
  <c r="E22" i="1"/>
  <c r="D22" i="1"/>
  <c r="C22" i="1"/>
  <c r="E21" i="1"/>
  <c r="E27" i="1" s="1"/>
  <c r="D21" i="1"/>
  <c r="D27" i="1" s="1"/>
  <c r="C21" i="1"/>
  <c r="C27" i="1" s="1"/>
  <c r="E15" i="1"/>
  <c r="D15" i="1"/>
  <c r="C15" i="1"/>
  <c r="E14" i="1"/>
  <c r="D14" i="1"/>
  <c r="C14" i="1"/>
  <c r="E13" i="1"/>
  <c r="D13" i="1"/>
  <c r="C13" i="1"/>
  <c r="E12" i="1"/>
  <c r="D12" i="1"/>
  <c r="C12" i="1"/>
  <c r="E11" i="1"/>
  <c r="D11" i="1"/>
  <c r="C11" i="1"/>
  <c r="E10" i="1"/>
  <c r="E16" i="1" s="1"/>
  <c r="D10" i="1"/>
  <c r="D16" i="1" s="1"/>
  <c r="C10" i="1"/>
  <c r="C16" i="1" s="1"/>
  <c r="G5" i="1"/>
  <c r="F5" i="1"/>
  <c r="E5" i="1"/>
  <c r="D5" i="1"/>
  <c r="C5" i="1"/>
  <c r="B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500-000001000000}">
      <text>
        <r>
          <rPr>
            <sz val="8"/>
            <color indexed="81"/>
            <rFont val="Tahoma"/>
            <family val="2"/>
          </rPr>
          <t>Original sample data used by the ResetDemoData macro. Do not edit.</t>
        </r>
      </text>
    </comment>
  </commentList>
</comments>
</file>

<file path=xl/sharedStrings.xml><?xml version="1.0" encoding="utf-8"?>
<sst xmlns="http://schemas.openxmlformats.org/spreadsheetml/2006/main" count="1992" uniqueCount="368">
  <si>
    <t>Claims Management Dashboard</t>
  </si>
  <si>
    <t>Sample healthcare claims for RPA &amp; agentic automation demos  |  qBotica</t>
  </si>
  <si>
    <t>TOTAL CLAIMS</t>
  </si>
  <si>
    <t>TOTAL BILLED</t>
  </si>
  <si>
    <t>TOTAL PAID</t>
  </si>
  <si>
    <t>OPEN CLAIMS</t>
  </si>
  <si>
    <t>DENIAL RATE</t>
  </si>
  <si>
    <t>OPEN SLA BREACHES</t>
  </si>
  <si>
    <t>Automation Actions</t>
  </si>
  <si>
    <t>Denial rate = Denied ÷ (Approved + Paid + Denied). SLA target is set on the Lookups sheet.</t>
  </si>
  <si>
    <t>Claims by Status</t>
  </si>
  <si>
    <t>Status</t>
  </si>
  <si>
    <t>Claims</t>
  </si>
  <si>
    <t>Billed ($)</t>
  </si>
  <si>
    <t>Paid ($)</t>
  </si>
  <si>
    <t>Submitted</t>
  </si>
  <si>
    <t>In Review</t>
  </si>
  <si>
    <t>Pended</t>
  </si>
  <si>
    <t>Approved</t>
  </si>
  <si>
    <t>Paid</t>
  </si>
  <si>
    <t>Denied</t>
  </si>
  <si>
    <t>Total</t>
  </si>
  <si>
    <t>Claims by Type</t>
  </si>
  <si>
    <t>Claim Type</t>
  </si>
  <si>
    <t>Inpatient</t>
  </si>
  <si>
    <t>Outpatient</t>
  </si>
  <si>
    <t>Professional</t>
  </si>
  <si>
    <t>Pharmacy</t>
  </si>
  <si>
    <t>Dental</t>
  </si>
  <si>
    <t>Vision</t>
  </si>
  <si>
    <t>Last macro run</t>
  </si>
  <si>
    <t>No macros run yet in this session.</t>
  </si>
  <si>
    <t>Open Workload by Adjuster</t>
  </si>
  <si>
    <t>Adjuster</t>
  </si>
  <si>
    <t>Open Claims</t>
  </si>
  <si>
    <t>Open Billed ($)</t>
  </si>
  <si>
    <t>SLA Breached</t>
  </si>
  <si>
    <t>Click Enable Content when Excel shows the yellow security bar, then click any button. Every action is also available from View &gt; Macros (Alt+F8).</t>
  </si>
  <si>
    <t>Priya Raman</t>
  </si>
  <si>
    <t>Michael Torres</t>
  </si>
  <si>
    <t>Sarah Chen</t>
  </si>
  <si>
    <t>David Okafor</t>
  </si>
  <si>
    <t>Senior Review Queue</t>
  </si>
  <si>
    <t>Unassigned</t>
  </si>
  <si>
    <t>Claim ID</t>
  </si>
  <si>
    <t>Received Date</t>
  </si>
  <si>
    <t>Service Date</t>
  </si>
  <si>
    <t>Member ID</t>
  </si>
  <si>
    <t>Patient Name</t>
  </si>
  <si>
    <t>Date of Birth</t>
  </si>
  <si>
    <t>Policy Number</t>
  </si>
  <si>
    <t>Plan Type</t>
  </si>
  <si>
    <t>Policy Status</t>
  </si>
  <si>
    <t>Provider Name</t>
  </si>
  <si>
    <t>Provider NPI</t>
  </si>
  <si>
    <t>Network</t>
  </si>
  <si>
    <t>ICD-10 Code</t>
  </si>
  <si>
    <t>CPT / HCPCS Code</t>
  </si>
  <si>
    <t>Billed Amount ($)</t>
  </si>
  <si>
    <t>Allowed Amount ($)</t>
  </si>
  <si>
    <t>Paid Amount ($)</t>
  </si>
  <si>
    <t>Patient Resp. ($)</t>
  </si>
  <si>
    <t>Claim Status</t>
  </si>
  <si>
    <t>Denial / Pend Reason</t>
  </si>
  <si>
    <t>Assigned Adjuster</t>
  </si>
  <si>
    <t>Priority</t>
  </si>
  <si>
    <t>Days Open</t>
  </si>
  <si>
    <t>Closed Date</t>
  </si>
  <si>
    <t>SLA Status</t>
  </si>
  <si>
    <t>Validation Flag</t>
  </si>
  <si>
    <t>Bot / Processing Notes</t>
  </si>
  <si>
    <t>CLM-2026-10101</t>
  </si>
  <si>
    <t>MBR1604451</t>
  </si>
  <si>
    <t>Rachel Hughes</t>
  </si>
  <si>
    <t>POL-975136</t>
  </si>
  <si>
    <t>EPO</t>
  </si>
  <si>
    <t>Active</t>
  </si>
  <si>
    <t>Sonoran Family Practice</t>
  </si>
  <si>
    <t>1487962350</t>
  </si>
  <si>
    <t>Out-of-Network</t>
  </si>
  <si>
    <t>E11.9</t>
  </si>
  <si>
    <t>99214</t>
  </si>
  <si>
    <t>Normal</t>
  </si>
  <si>
    <t>CLM-2026-10102</t>
  </si>
  <si>
    <t>MBR3341057</t>
  </si>
  <si>
    <t>James Whitaker</t>
  </si>
  <si>
    <t>POL-872246</t>
  </si>
  <si>
    <t>PPO</t>
  </si>
  <si>
    <t>Harbor Specialty Pharmacy #214</t>
  </si>
  <si>
    <t>1902563348</t>
  </si>
  <si>
    <t>D70.1</t>
  </si>
  <si>
    <t>J2505</t>
  </si>
  <si>
    <t>CLM-2026-10103</t>
  </si>
  <si>
    <t>MBR3564217</t>
  </si>
  <si>
    <t>Kevin Vega</t>
  </si>
  <si>
    <t>POL-492077</t>
  </si>
  <si>
    <t>HMO</t>
  </si>
  <si>
    <t>In-Network</t>
  </si>
  <si>
    <t>Z00.129</t>
  </si>
  <si>
    <t>99392</t>
  </si>
  <si>
    <t>CLM-2026-10104</t>
  </si>
  <si>
    <t>MBR5682940</t>
  </si>
  <si>
    <t>Omar Walsh</t>
  </si>
  <si>
    <t>POL-468203</t>
  </si>
  <si>
    <t>HDHP</t>
  </si>
  <si>
    <t>M06.9</t>
  </si>
  <si>
    <t>J0135</t>
  </si>
  <si>
    <t>CO-97 Service included in another procedure</t>
  </si>
  <si>
    <t>CLM-2026-10105</t>
  </si>
  <si>
    <t>MBR2813543</t>
  </si>
  <si>
    <t>Leah Coleman</t>
  </si>
  <si>
    <t>POL-501124</t>
  </si>
  <si>
    <t>Canyon Dental Group</t>
  </si>
  <si>
    <t>1174836290</t>
  </si>
  <si>
    <t>Z01.20</t>
  </si>
  <si>
    <t>D0120</t>
  </si>
  <si>
    <t>CO-29 Timely filing limit exceeded</t>
  </si>
  <si>
    <t>CLM-2026-10106</t>
  </si>
  <si>
    <t>MBR6707197</t>
  </si>
  <si>
    <t>Aisha Haddad</t>
  </si>
  <si>
    <t>POL-216970</t>
  </si>
  <si>
    <t>Desert Valley Medical Center</t>
  </si>
  <si>
    <t>1245319876</t>
  </si>
  <si>
    <t>K35.80</t>
  </si>
  <si>
    <t>44970</t>
  </si>
  <si>
    <t>High</t>
  </si>
  <si>
    <t>CLM-2026-10107</t>
  </si>
  <si>
    <t>MBR4374754</t>
  </si>
  <si>
    <t>Brian Fischer</t>
  </si>
  <si>
    <t>POL-847581</t>
  </si>
  <si>
    <t>K02.52</t>
  </si>
  <si>
    <t>D2392</t>
  </si>
  <si>
    <t>CLM-2026-10108</t>
  </si>
  <si>
    <t>MBR6271130</t>
  </si>
  <si>
    <t>Chloe Ramsey</t>
  </si>
  <si>
    <t>POL-350280</t>
  </si>
  <si>
    <t>Summit Cardiology Partners</t>
  </si>
  <si>
    <t>1649027735</t>
  </si>
  <si>
    <t>CLM-2026-10109</t>
  </si>
  <si>
    <t>MBR6262632</t>
  </si>
  <si>
    <t>Megan Lawson</t>
  </si>
  <si>
    <t>POL-557592</t>
  </si>
  <si>
    <t>Northside Imaging Center</t>
  </si>
  <si>
    <t>1538204417</t>
  </si>
  <si>
    <t>J06.9</t>
  </si>
  <si>
    <t>CLM-2026-10110</t>
  </si>
  <si>
    <t>MBR7350753</t>
  </si>
  <si>
    <t>Robert Morales</t>
  </si>
  <si>
    <t>POL-182627</t>
  </si>
  <si>
    <t>CLM-2026-10111</t>
  </si>
  <si>
    <t>MBR7120868</t>
  </si>
  <si>
    <t>Linda Klein</t>
  </si>
  <si>
    <t>POL-270555</t>
  </si>
  <si>
    <t>K05.10</t>
  </si>
  <si>
    <t>D1110</t>
  </si>
  <si>
    <t>CLM-2026-10112</t>
  </si>
  <si>
    <t>MBR2582524</t>
  </si>
  <si>
    <t>Marcus Farouk</t>
  </si>
  <si>
    <t>POL-201639</t>
  </si>
  <si>
    <t>Low</t>
  </si>
  <si>
    <t>CLM-2026-10113</t>
  </si>
  <si>
    <t>MBR6623525</t>
  </si>
  <si>
    <t>Andre Delgado</t>
  </si>
  <si>
    <t>POL-197923</t>
  </si>
  <si>
    <t>Mesa Orthopedic Associates</t>
  </si>
  <si>
    <t>1720651983</t>
  </si>
  <si>
    <t>S83.241A</t>
  </si>
  <si>
    <t>29881</t>
  </si>
  <si>
    <t>CLM-2026-10114</t>
  </si>
  <si>
    <t>MBR6049101</t>
  </si>
  <si>
    <t>Julia Rossi</t>
  </si>
  <si>
    <t>POL-525800</t>
  </si>
  <si>
    <t>CO-197 Prior authorization not obtained</t>
  </si>
  <si>
    <t>CLM-2026-10115</t>
  </si>
  <si>
    <t>MBR9164991</t>
  </si>
  <si>
    <t>Hannah Price</t>
  </si>
  <si>
    <t>POL-262316</t>
  </si>
  <si>
    <t>CLM-2026-10116</t>
  </si>
  <si>
    <t>MBR2154126</t>
  </si>
  <si>
    <t>Ethan Kim</t>
  </si>
  <si>
    <t>POL-356150</t>
  </si>
  <si>
    <t>CLM-2026-10117</t>
  </si>
  <si>
    <t>MBR1852264</t>
  </si>
  <si>
    <t>Samuel Reyes</t>
  </si>
  <si>
    <t>POL-196781</t>
  </si>
  <si>
    <t>CLM-2026-10118</t>
  </si>
  <si>
    <t>MBR4117625</t>
  </si>
  <si>
    <t>Victor Moreno</t>
  </si>
  <si>
    <t>POL-171849</t>
  </si>
  <si>
    <t>I10</t>
  </si>
  <si>
    <t>99213</t>
  </si>
  <si>
    <t>CLM-2026-10119</t>
  </si>
  <si>
    <t>MBR7818496</t>
  </si>
  <si>
    <t>Hector Sullivan</t>
  </si>
  <si>
    <t>POL-609231</t>
  </si>
  <si>
    <t>CarePoint Urgent Care</t>
  </si>
  <si>
    <t>1093847562</t>
  </si>
  <si>
    <t>M17.11</t>
  </si>
  <si>
    <t>73721</t>
  </si>
  <si>
    <t>CLM-2026-10120</t>
  </si>
  <si>
    <t>CLM-2026-10121</t>
  </si>
  <si>
    <t>MBR8526486</t>
  </si>
  <si>
    <t>Olivia Gonzalez</t>
  </si>
  <si>
    <t>POL-246991</t>
  </si>
  <si>
    <t>J1815</t>
  </si>
  <si>
    <t>CLM-2026-10122</t>
  </si>
  <si>
    <t>R07.9</t>
  </si>
  <si>
    <t>71046</t>
  </si>
  <si>
    <t>CLM-2026-10123</t>
  </si>
  <si>
    <t>CLM-2026-10124</t>
  </si>
  <si>
    <t>MBR5667265</t>
  </si>
  <si>
    <t>Maria Rahman</t>
  </si>
  <si>
    <t>POL-948749</t>
  </si>
  <si>
    <t>I25.10</t>
  </si>
  <si>
    <t>93306</t>
  </si>
  <si>
    <t>CLM-2026-10125</t>
  </si>
  <si>
    <t>MBR1790481</t>
  </si>
  <si>
    <t>Daniel Ortiz</t>
  </si>
  <si>
    <t>POL-214975</t>
  </si>
  <si>
    <t>CLM-2026-10126</t>
  </si>
  <si>
    <t>MBR2737893</t>
  </si>
  <si>
    <t>Nadia Bennett</t>
  </si>
  <si>
    <t>POL-240814</t>
  </si>
  <si>
    <t>CLM-2026-10127</t>
  </si>
  <si>
    <t>MBR6933742</t>
  </si>
  <si>
    <t>Tyler Brooks</t>
  </si>
  <si>
    <t>POL-918011</t>
  </si>
  <si>
    <t>CLM-2026-10128</t>
  </si>
  <si>
    <t>MBR7637601</t>
  </si>
  <si>
    <t>Emily Harper</t>
  </si>
  <si>
    <t>POL-774079</t>
  </si>
  <si>
    <t>CLM-2026-10129</t>
  </si>
  <si>
    <t>J18.9</t>
  </si>
  <si>
    <t>99223</t>
  </si>
  <si>
    <t>CLM-2026-10130</t>
  </si>
  <si>
    <t>MBR6539837</t>
  </si>
  <si>
    <t>Carlos Patel</t>
  </si>
  <si>
    <t>POL-753425</t>
  </si>
  <si>
    <t>CLM-2026-10131</t>
  </si>
  <si>
    <t>Awaiting itemized bill</t>
  </si>
  <si>
    <t>CLM-2026-10132</t>
  </si>
  <si>
    <t>CLM-2026-10133</t>
  </si>
  <si>
    <t>Sunrise Pediatrics</t>
  </si>
  <si>
    <t>1356709284</t>
  </si>
  <si>
    <t>Prior authorization verification</t>
  </si>
  <si>
    <t>CLM-2026-10153</t>
  </si>
  <si>
    <t>CLM-2026-10134</t>
  </si>
  <si>
    <t>CLM-2026-10135</t>
  </si>
  <si>
    <t>Awaiting medical records from provider</t>
  </si>
  <si>
    <t>CLM-2026-10136</t>
  </si>
  <si>
    <t>MBR2321324</t>
  </si>
  <si>
    <t>Sofia Nguyen</t>
  </si>
  <si>
    <t>POL-189814</t>
  </si>
  <si>
    <t>ClearView Eye Clinic</t>
  </si>
  <si>
    <t>1811429057</t>
  </si>
  <si>
    <t>H52.13</t>
  </si>
  <si>
    <t>92004</t>
  </si>
  <si>
    <t>CLM-2026-10137</t>
  </si>
  <si>
    <t>MBR4684531</t>
  </si>
  <si>
    <t>Anthony Jensen</t>
  </si>
  <si>
    <t>POL-817870</t>
  </si>
  <si>
    <t>CLM-2026-10138</t>
  </si>
  <si>
    <t>CLM-2026-10139</t>
  </si>
  <si>
    <t>MBR1987737</t>
  </si>
  <si>
    <t>Grace Foster</t>
  </si>
  <si>
    <t>POL-340062</t>
  </si>
  <si>
    <t>CLM-2026-10140</t>
  </si>
  <si>
    <t>Coordination of benefits review</t>
  </si>
  <si>
    <t>CLM-2026-10141</t>
  </si>
  <si>
    <t>MBR7442089</t>
  </si>
  <si>
    <t>Paige Barnes</t>
  </si>
  <si>
    <t>POL-618392</t>
  </si>
  <si>
    <t>CLM-2026-10142</t>
  </si>
  <si>
    <t>I21.4</t>
  </si>
  <si>
    <t>92928</t>
  </si>
  <si>
    <t>CLM-2026-10143</t>
  </si>
  <si>
    <t>CLM-2026-10144</t>
  </si>
  <si>
    <t>Terminated</t>
  </si>
  <si>
    <t>CLM-2026-10145</t>
  </si>
  <si>
    <t>CLM-2026-10146</t>
  </si>
  <si>
    <t>Possible resubmission</t>
  </si>
  <si>
    <t>CLM-2026-10147</t>
  </si>
  <si>
    <t>165902773</t>
  </si>
  <si>
    <t>CLM-2026-10148</t>
  </si>
  <si>
    <t>CLM-2026-10150</t>
  </si>
  <si>
    <t>CLM-2026-10151</t>
  </si>
  <si>
    <t>CLM-2026-10152</t>
  </si>
  <si>
    <t>CLM-2026-10154</t>
  </si>
  <si>
    <t>CLM-2026-10155</t>
  </si>
  <si>
    <t>CLM-2026-10156</t>
  </si>
  <si>
    <t>CLM-2026-10157</t>
  </si>
  <si>
    <t>CLM-2026-10158</t>
  </si>
  <si>
    <t>Demo Guide — Claims Management Macros</t>
  </si>
  <si>
    <t>Suggested click-through order for a 10-minute demo. Open the file as .xlsm and click Enable Content first.</t>
  </si>
  <si>
    <t>#</t>
  </si>
  <si>
    <t>Macro / Button</t>
  </si>
  <si>
    <t>What it shows</t>
  </si>
  <si>
    <t>Validate Claims</t>
  </si>
  <si>
    <t>Runs 10 data-quality rules on every claim (duplicate IDs, missing ICD-10, invalid NPI, date logic, paid &gt; allowed, denial without reason, payment on terminated policy). Results appear in the Validation Flag column (AA).</t>
  </si>
  <si>
    <t>Run Auto-Adjudication (Bot)</t>
  </si>
  <si>
    <t>Processes every 'Submitted' claim like an RPA bot: denies terminated policies, pends claims failing validation, routes high-value (&gt; $25k) to Senior Review, routes claims above the $5k auto-approve limit to an adjuster, and auto-approves the rest using the fee schedule on Lookups. Watch the dashboard KPIs change.</t>
  </si>
  <si>
    <t>Highlight SLA Breaches</t>
  </si>
  <si>
    <t>Colours open claims red (breached) or amber (at risk) against the SLA days on Lookups.</t>
  </si>
  <si>
    <t>Filter Claims by Status</t>
  </si>
  <si>
    <t>Prompts for a status and applies an AutoFilter on Claims_Data.</t>
  </si>
  <si>
    <t>Clear Filters &amp; Highlights</t>
  </si>
  <si>
    <t>Removes the filter and the SLA row colouring.</t>
  </si>
  <si>
    <t>Add New Claim</t>
  </si>
  <si>
    <t>Guided five-prompt intake that appends a new 'Submitted' claim with the next Claim ID. Run the bot again to process it.</t>
  </si>
  <si>
    <t>Generate Summary Report</t>
  </si>
  <si>
    <t>Builds a Claims_Report sheet: status summary, open workload by adjuster, and denied-claim detail.</t>
  </si>
  <si>
    <t>Export Claims to CSV</t>
  </si>
  <si>
    <t>Saves Claims_Data as a timestamped CSV next to the workbook (e.g. hand-off to a downstream system).</t>
  </si>
  <si>
    <t>↺</t>
  </si>
  <si>
    <t>Reset Demo Data</t>
  </si>
  <si>
    <t>Restores the original 58 sample claims from the hidden Claims_Backup sheet so the demo can be rerun.</t>
  </si>
  <si>
    <t>Built-in test scenarios in the sample data</t>
  </si>
  <si>
    <t>Scenario</t>
  </si>
  <si>
    <t>Expected result</t>
  </si>
  <si>
    <t>Terminated policy (2 claims)</t>
  </si>
  <si>
    <t>Submitted claims on terminated policies → bot auto-denies with CO-27.</t>
  </si>
  <si>
    <t>Missing ICD-10 code</t>
  </si>
  <si>
    <t>Submitted claim with blank diagnosis → flagged and pended.</t>
  </si>
  <si>
    <t>Invalid NPI (9 digits)</t>
  </si>
  <si>
    <t>Submitted claim with a malformed provider NPI → flagged and pended.</t>
  </si>
  <si>
    <t>Service after received date</t>
  </si>
  <si>
    <t>Date-logic error → flagged and pended.</t>
  </si>
  <si>
    <t>Duplicate Claim ID</t>
  </si>
  <si>
    <t>Resubmission of an already-paid claim → both rows flagged; new one pended.</t>
  </si>
  <si>
    <t>High-value inpatient ($48,750)</t>
  </si>
  <si>
    <t>Above the $25k threshold → routed to Senior Review Queue, priority High.</t>
  </si>
  <si>
    <t>Out-of-network above limit</t>
  </si>
  <si>
    <t>OON outpatient claim over $5k → routed to an adjuster.</t>
  </si>
  <si>
    <t>In-network above limit</t>
  </si>
  <si>
    <t>Specialty pharmacy claim over $5k → routed to an adjuster.</t>
  </si>
  <si>
    <t>Aged submitted claim</t>
  </si>
  <si>
    <t>Received 34 days ago → shows as an SLA breach until the bot approves it.</t>
  </si>
  <si>
    <t>Processed-claim data issues</t>
  </si>
  <si>
    <t>One denied claim missing its reason and one paid claim where Paid &gt; Allowed.</t>
  </si>
  <si>
    <t>Notes</t>
  </si>
  <si>
    <t>All names, member IDs, policy numbers and NPIs are fictitious. Codes (ICD-10, CPT/HCPCS, CDT, CARC) are real code formats used for realism; amounts and fee-schedule percentages are illustrative only.</t>
  </si>
  <si>
    <t>Days Open and SLA Status use TODAY(), so ageing moves forward each day the file is opened.</t>
  </si>
  <si>
    <t>Lookups &amp; Business Rules</t>
  </si>
  <si>
    <t>Blue text on yellow = editable input. Macros and dashboard formulas read these cells by name.</t>
  </si>
  <si>
    <t>Bot Parameters</t>
  </si>
  <si>
    <t>Parameter</t>
  </si>
  <si>
    <t>Value</t>
  </si>
  <si>
    <t>Description</t>
  </si>
  <si>
    <t>SLA Days</t>
  </si>
  <si>
    <t>Target turnaround from receipt to adjudication (days)</t>
  </si>
  <si>
    <t>Auto-Approve Limit ($)</t>
  </si>
  <si>
    <t>Bot auto-approves clean claims at or below this billed amount</t>
  </si>
  <si>
    <t>High-Value Limit ($)</t>
  </si>
  <si>
    <t>Claims above this go to the Senior Review Queue</t>
  </si>
  <si>
    <t>Out-of-Network Factor</t>
  </si>
  <si>
    <t>Multiplier applied to allowed amount for out-of-network claims</t>
  </si>
  <si>
    <t>Allowed % of Billed (In-Network)</t>
  </si>
  <si>
    <t>Plan Pays % (Coinsurance)</t>
  </si>
  <si>
    <t>Allowed %</t>
  </si>
  <si>
    <t>Plan Pays %</t>
  </si>
  <si>
    <t>Illustrative sample values for demo purposes only (not an actual payer fee schedule). Allowed = Billed x Allowed% (x OON factor if out-of-network); Paid = Allowed x Plan Pays %.</t>
  </si>
  <si>
    <t>Macro Execution Log</t>
  </si>
  <si>
    <t>Every macro appends a row here automatically — useful for showing an audit trail in the demo.</t>
  </si>
  <si>
    <t>Timestamp</t>
  </si>
  <si>
    <t>Macro</t>
  </si>
  <si>
    <t>Records Processed</t>
  </si>
  <si>
    <t>Result</t>
  </si>
  <si>
    <t>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</si>
</sst>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$#,##0"/>
    <numFmt numFmtId="165" formatCode="0.0%"/>
    <numFmt numFmtId="166" formatCode="\$#,##0.00"/>
    <numFmt numFmtId="167" formatCode="dd\-mmm\-yyyy"/>
  </numFmts>
  <fonts count="18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8"/>
      <color rgb="FFFFFFFF"/>
      <name val="Arial"/>
      <family val="2"/>
    </font>
    <font>
      <i/>
      <sz val="10"/>
      <color rgb="FFDDDDDD"/>
      <name val="Arial"/>
      <family val="2"/>
    </font>
    <font>
      <b/>
      <sz val="9"/>
      <color rgb="FF808080"/>
      <name val="Arial"/>
      <family val="2"/>
    </font>
    <font>
      <b/>
      <sz val="11"/>
      <color rgb="FFFFFFFF"/>
      <name val="Arial"/>
      <family val="2"/>
    </font>
    <font>
      <b/>
      <sz val="18"/>
      <color rgb="FF333333"/>
      <name val="Arial"/>
      <family val="2"/>
    </font>
    <font>
      <b/>
      <sz val="16"/>
      <color rgb="FF333333"/>
      <name val="Arial"/>
      <family val="2"/>
    </font>
    <font>
      <b/>
      <sz val="18"/>
      <color rgb="FFC00000"/>
      <name val="Arial"/>
      <family val="2"/>
    </font>
    <font>
      <i/>
      <sz val="9"/>
      <color rgb="FF808080"/>
      <name val="Arial"/>
      <family val="2"/>
    </font>
    <font>
      <b/>
      <sz val="11"/>
      <color rgb="FFF1671D"/>
      <name val="Arial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10"/>
      <color rgb="FFF1671D"/>
      <name val="Arial"/>
      <family val="2"/>
    </font>
    <font>
      <b/>
      <sz val="14"/>
      <color rgb="FF333333"/>
      <name val="Arial"/>
      <family val="2"/>
    </font>
    <font>
      <sz val="10"/>
      <color rgb="FF0000FF"/>
      <name val="Arial"/>
      <family val="2"/>
    </font>
    <font>
      <sz val="8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FDF0E9"/>
        <bgColor indexed="64"/>
      </patternFill>
    </fill>
    <fill>
      <patternFill patternType="solid">
        <fgColor rgb="FFF1671D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rgb="FFF1671D"/>
      </top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/>
      <right/>
      <top/>
      <bottom style="medium">
        <color rgb="FFF1671D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BFBFBF"/>
      </left>
      <right style="thin">
        <color rgb="FFBFBFBF"/>
      </right>
      <top style="medium">
        <color rgb="FF333333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3" borderId="1" xfId="0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3" fontId="6" fillId="3" borderId="0" xfId="0" applyNumberFormat="1" applyFont="1" applyFill="1" applyAlignment="1">
      <alignment horizontal="center"/>
    </xf>
    <xf numFmtId="164" fontId="7" fillId="3" borderId="0" xfId="0" applyNumberFormat="1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3" fontId="8" fillId="3" borderId="0" xfId="0" applyNumberFormat="1" applyFont="1" applyFill="1" applyAlignment="1">
      <alignment horizontal="center"/>
    </xf>
    <xf numFmtId="0" fontId="1" fillId="5" borderId="2" xfId="0" applyFont="1" applyFill="1" applyBorder="1"/>
    <xf numFmtId="0" fontId="9" fillId="0" borderId="0" xfId="0" applyFont="1"/>
    <xf numFmtId="0" fontId="10" fillId="0" borderId="3" xfId="0" applyFont="1" applyBorder="1"/>
    <xf numFmtId="0" fontId="11" fillId="2" borderId="4" xfId="0" applyFont="1" applyFill="1" applyBorder="1" applyAlignment="1">
      <alignment horizontal="center"/>
    </xf>
    <xf numFmtId="0" fontId="1" fillId="0" borderId="5" xfId="0" applyFont="1" applyBorder="1"/>
    <xf numFmtId="3" fontId="1" fillId="0" borderId="5" xfId="0" applyNumberFormat="1" applyFont="1" applyBorder="1" applyAlignment="1">
      <alignment horizontal="center"/>
    </xf>
    <xf numFmtId="166" fontId="1" fillId="0" borderId="5" xfId="0" applyNumberFormat="1" applyFont="1" applyBorder="1"/>
    <xf numFmtId="0" fontId="12" fillId="6" borderId="6" xfId="0" applyFont="1" applyFill="1" applyBorder="1"/>
    <xf numFmtId="3" fontId="12" fillId="6" borderId="6" xfId="0" applyNumberFormat="1" applyFont="1" applyFill="1" applyBorder="1" applyAlignment="1">
      <alignment horizontal="center"/>
    </xf>
    <xf numFmtId="166" fontId="12" fillId="6" borderId="6" xfId="0" applyNumberFormat="1" applyFont="1" applyFill="1" applyBorder="1"/>
    <xf numFmtId="0" fontId="1" fillId="5" borderId="7" xfId="0" applyFont="1" applyFill="1" applyBorder="1"/>
    <xf numFmtId="0" fontId="4" fillId="0" borderId="0" xfId="0" applyFont="1"/>
    <xf numFmtId="0" fontId="13" fillId="6" borderId="8" xfId="0" applyFont="1" applyFill="1" applyBorder="1" applyAlignment="1">
      <alignment vertical="center" wrapText="1"/>
    </xf>
    <xf numFmtId="0" fontId="9" fillId="0" borderId="0" xfId="0" applyFont="1" applyAlignment="1">
      <alignment vertical="top" wrapText="1"/>
    </xf>
    <xf numFmtId="167" fontId="1" fillId="0" borderId="5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49" fontId="1" fillId="0" borderId="5" xfId="0" applyNumberFormat="1" applyFont="1" applyBorder="1" applyAlignment="1">
      <alignment horizontal="center"/>
    </xf>
    <xf numFmtId="1" fontId="1" fillId="0" borderId="5" xfId="0" applyNumberFormat="1" applyFont="1" applyBorder="1" applyAlignment="1">
      <alignment horizontal="center"/>
    </xf>
    <xf numFmtId="0" fontId="11" fillId="4" borderId="8" xfId="0" applyFont="1" applyFill="1" applyBorder="1" applyAlignment="1">
      <alignment horizontal="center" vertical="center" wrapText="1"/>
    </xf>
    <xf numFmtId="0" fontId="7" fillId="0" borderId="0" xfId="0" applyFont="1"/>
    <xf numFmtId="0" fontId="1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vertical="center"/>
    </xf>
    <xf numFmtId="0" fontId="1" fillId="0" borderId="5" xfId="0" applyFont="1" applyBorder="1" applyAlignment="1">
      <alignment vertical="center" wrapText="1"/>
    </xf>
    <xf numFmtId="0" fontId="15" fillId="0" borderId="0" xfId="0" applyFont="1"/>
    <xf numFmtId="0" fontId="16" fillId="0" borderId="5" xfId="0" applyFont="1" applyBorder="1"/>
    <xf numFmtId="3" fontId="16" fillId="7" borderId="9" xfId="0" applyNumberFormat="1" applyFont="1" applyFill="1" applyBorder="1" applyAlignment="1">
      <alignment horizontal="center"/>
    </xf>
    <xf numFmtId="2" fontId="16" fillId="7" borderId="9" xfId="0" applyNumberFormat="1" applyFont="1" applyFill="1" applyBorder="1" applyAlignment="1">
      <alignment horizontal="center"/>
    </xf>
    <xf numFmtId="9" fontId="16" fillId="7" borderId="9" xfId="0" applyNumberFormat="1" applyFont="1" applyFill="1" applyBorder="1" applyAlignment="1">
      <alignment horizontal="center"/>
    </xf>
    <xf numFmtId="0" fontId="9" fillId="0" borderId="0" xfId="0" applyFont="1" applyAlignment="1">
      <alignment vertical="top" wrapText="1"/>
    </xf>
  </cellXfs>
  <cellStyles count="1">
    <cellStyle name="Normal" xfId="0" builtinId="0"/>
  </cellStyles>
  <dxfs count="10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rgb="FFC6EFCE"/>
        </patternFill>
      </fill>
    </dxf>
    <dxf>
      <font>
        <b/>
        <color rgb="FF375623"/>
      </font>
      <fill>
        <patternFill>
          <bgColor rgb="FFE2EFDA"/>
        </patternFill>
      </fill>
    </dxf>
    <dxf>
      <font>
        <b/>
        <color rgb="FF843C0C"/>
      </font>
      <fill>
        <patternFill>
          <bgColor rgb="FFFCE4D6"/>
        </patternFill>
      </fill>
    </dxf>
    <dxf>
      <font>
        <b/>
        <color rgb="FF7F6000"/>
      </font>
      <fill>
        <patternFill>
          <bgColor rgb="FFFFF2CC"/>
        </patternFill>
      </fill>
    </dxf>
    <dxf>
      <font>
        <b/>
        <color rgb="FF1F4E78"/>
      </font>
      <fill>
        <patternFill>
          <bgColor rgb="FFDDEBF7"/>
        </patternFill>
      </fill>
    </dxf>
    <dxf>
      <font>
        <b/>
        <color rgb="FFC0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baseline="0">
                <a:solidFill>
                  <a:srgbClr val="333333"/>
                </a:solidFill>
                <a:latin typeface="Arial"/>
              </a:defRPr>
            </a:pPr>
            <a:r>
              <a:rPr lang="en-US" sz="1100" b="1" baseline="0">
                <a:solidFill>
                  <a:srgbClr val="333333"/>
                </a:solidFill>
                <a:latin typeface="Arial"/>
              </a:rPr>
              <a:t>Claims by Status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Claims</c:v>
          </c:tx>
          <c:spPr>
            <a:solidFill>
              <a:srgbClr val="F1671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aseline="0">
                    <a:latin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Dashboard!$B$10:$B$15</c:f>
              <c:strCache>
                <c:ptCount val="6"/>
                <c:pt idx="0">
                  <c:v>Submitted</c:v>
                </c:pt>
                <c:pt idx="1">
                  <c:v>In Review</c:v>
                </c:pt>
                <c:pt idx="2">
                  <c:v>Pended</c:v>
                </c:pt>
                <c:pt idx="3">
                  <c:v>Approved</c:v>
                </c:pt>
                <c:pt idx="4">
                  <c:v>Paid</c:v>
                </c:pt>
                <c:pt idx="5">
                  <c:v>Denied</c:v>
                </c:pt>
              </c:strCache>
            </c:strRef>
          </c:cat>
          <c:val>
            <c:numRef>
              <c:f>Dashboard!$C$10:$C$15</c:f>
              <c:numCache>
                <c:formatCode>#,##0</c:formatCode>
                <c:ptCount val="6"/>
                <c:pt idx="0">
                  <c:v>15</c:v>
                </c:pt>
                <c:pt idx="1">
                  <c:v>8</c:v>
                </c:pt>
                <c:pt idx="2">
                  <c:v>6</c:v>
                </c:pt>
                <c:pt idx="3">
                  <c:v>7</c:v>
                </c:pt>
                <c:pt idx="4">
                  <c:v>15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9-4DC7-BAF3-2D10D196E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0010001"/>
        <c:axId val="50010002"/>
      </c:barChart>
      <c:catAx>
        <c:axId val="5001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Arial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>
          <c:spPr>
            <a:ln>
              <a:solidFill>
                <a:srgbClr val="E7E6E6"/>
              </a:solidFill>
            </a:ln>
          </c:spPr>
        </c:majorGridlines>
        <c:numFmt formatCode="#,##0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Arial"/>
              </a:defRPr>
            </a:pPr>
            <a:endParaRPr lang="en-US"/>
          </a:p>
        </c:txPr>
        <c:crossAx val="50010001"/>
        <c:crosses val="autoZero"/>
        <c:crossBetween val="between"/>
      </c:valAx>
    </c:plotArea>
    <c:plotVisOnly val="1"/>
    <c:dispBlanksAs val="gap"/>
    <c:showDLblsOverMax val="0"/>
  </c:chart>
  <c:spPr>
    <a:ln>
      <a:solidFill>
        <a:srgbClr val="D9D9D9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baseline="0">
                <a:solidFill>
                  <a:srgbClr val="333333"/>
                </a:solidFill>
                <a:latin typeface="Arial"/>
              </a:defRPr>
            </a:pPr>
            <a:r>
              <a:rPr lang="en-US" sz="1100" b="1" baseline="0">
                <a:solidFill>
                  <a:srgbClr val="333333"/>
                </a:solidFill>
                <a:latin typeface="Arial"/>
              </a:rPr>
              <a:t>Billed vs Paid by Claim Type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Billed ($)</c:v>
          </c:tx>
          <c:spPr>
            <a:solidFill>
              <a:srgbClr val="333333"/>
            </a:solidFill>
          </c:spPr>
          <c:invertIfNegative val="0"/>
          <c:cat>
            <c:strRef>
              <c:f>Dashboard!$B$21:$B$26</c:f>
              <c:strCache>
                <c:ptCount val="6"/>
                <c:pt idx="0">
                  <c:v>Inpatient</c:v>
                </c:pt>
                <c:pt idx="1">
                  <c:v>Outpatient</c:v>
                </c:pt>
                <c:pt idx="2">
                  <c:v>Professional</c:v>
                </c:pt>
                <c:pt idx="3">
                  <c:v>Pharmacy</c:v>
                </c:pt>
                <c:pt idx="4">
                  <c:v>Dental</c:v>
                </c:pt>
                <c:pt idx="5">
                  <c:v>Vision</c:v>
                </c:pt>
              </c:strCache>
            </c:strRef>
          </c:cat>
          <c:val>
            <c:numRef>
              <c:f>Dashboard!$D$21:$D$26</c:f>
              <c:numCache>
                <c:formatCode>\$#,##0.00</c:formatCode>
                <c:ptCount val="6"/>
                <c:pt idx="0">
                  <c:v>207111.03</c:v>
                </c:pt>
                <c:pt idx="1">
                  <c:v>19493.080000000002</c:v>
                </c:pt>
                <c:pt idx="2">
                  <c:v>7566.77</c:v>
                </c:pt>
                <c:pt idx="3">
                  <c:v>46739.009999999995</c:v>
                </c:pt>
                <c:pt idx="4">
                  <c:v>2219.34</c:v>
                </c:pt>
                <c:pt idx="5">
                  <c:v>251.9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6-4D62-8F7F-A4B7EB46C9C5}"/>
            </c:ext>
          </c:extLst>
        </c:ser>
        <c:ser>
          <c:idx val="1"/>
          <c:order val="1"/>
          <c:tx>
            <c:v>Paid ($)</c:v>
          </c:tx>
          <c:spPr>
            <a:solidFill>
              <a:srgbClr val="F1671D"/>
            </a:solidFill>
          </c:spPr>
          <c:invertIfNegative val="0"/>
          <c:cat>
            <c:strRef>
              <c:f>Dashboard!$B$21:$B$26</c:f>
              <c:strCache>
                <c:ptCount val="6"/>
                <c:pt idx="0">
                  <c:v>Inpatient</c:v>
                </c:pt>
                <c:pt idx="1">
                  <c:v>Outpatient</c:v>
                </c:pt>
                <c:pt idx="2">
                  <c:v>Professional</c:v>
                </c:pt>
                <c:pt idx="3">
                  <c:v>Pharmacy</c:v>
                </c:pt>
                <c:pt idx="4">
                  <c:v>Dental</c:v>
                </c:pt>
                <c:pt idx="5">
                  <c:v>Vision</c:v>
                </c:pt>
              </c:strCache>
            </c:strRef>
          </c:cat>
          <c:val>
            <c:numRef>
              <c:f>Dashboard!$E$21:$E$26</c:f>
              <c:numCache>
                <c:formatCode>\$#,##0.00</c:formatCode>
                <c:ptCount val="6"/>
                <c:pt idx="0">
                  <c:v>25055.58</c:v>
                </c:pt>
                <c:pt idx="1">
                  <c:v>1302.82</c:v>
                </c:pt>
                <c:pt idx="2">
                  <c:v>1500.9699999999998</c:v>
                </c:pt>
                <c:pt idx="3">
                  <c:v>11119.26</c:v>
                </c:pt>
                <c:pt idx="4">
                  <c:v>587.45000000000005</c:v>
                </c:pt>
                <c:pt idx="5">
                  <c:v>74.06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C6-4D62-8F7F-A4B7EB46C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50020001"/>
        <c:axId val="50020002"/>
      </c:barChart>
      <c:catAx>
        <c:axId val="50020001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Arial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  <c:noMultiLvlLbl val="0"/>
      </c:catAx>
      <c:valAx>
        <c:axId val="50020002"/>
        <c:scaling>
          <c:orientation val="minMax"/>
        </c:scaling>
        <c:delete val="0"/>
        <c:axPos val="t"/>
        <c:majorGridlines>
          <c:spPr>
            <a:ln>
              <a:solidFill>
                <a:srgbClr val="E7E6E6"/>
              </a:solidFill>
            </a:ln>
          </c:spPr>
        </c:majorGridlines>
        <c:numFmt formatCode="\$#,##0" sourceLinked="0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Arial"/>
              </a:defRPr>
            </a:pPr>
            <a:endParaRPr lang="en-US"/>
          </a:p>
        </c:txPr>
        <c:crossAx val="50020001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800" baseline="0">
              <a:latin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rgbClr val="D9D9D9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7</xdr:row>
      <xdr:rowOff>38100</xdr:rowOff>
    </xdr:from>
    <xdr:to>
      <xdr:col>9</xdr:col>
      <xdr:colOff>95250</xdr:colOff>
      <xdr:row>17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76200</xdr:colOff>
      <xdr:row>18</xdr:row>
      <xdr:rowOff>38100</xdr:rowOff>
    </xdr:from>
    <xdr:to>
      <xdr:col>9</xdr:col>
      <xdr:colOff>95250</xdr:colOff>
      <xdr:row>29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9</xdr:col>
      <xdr:colOff>76200</xdr:colOff>
      <xdr:row>4</xdr:row>
      <xdr:rowOff>76200</xdr:rowOff>
    </xdr:from>
    <xdr:to>
      <xdr:col>9</xdr:col>
      <xdr:colOff>2362200</xdr:colOff>
      <xdr:row>4</xdr:row>
      <xdr:rowOff>400050</xdr:rowOff>
    </xdr:to>
    <xdr:sp macro="[0]!ValidateClaims" textlink="">
      <xdr:nvSpPr>
        <xdr:cNvPr id="4" name="btn_ValidateClaims" descr="Runs macro ValidateClaim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772525" y="1247775"/>
          <a:ext cx="2286000" cy="323850"/>
        </a:xfrm>
        <a:prstGeom prst="roundRect">
          <a:avLst/>
        </a:prstGeom>
        <a:solidFill>
          <a:srgbClr val="F1671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37160" rtlCol="0" anchor="ctr"/>
        <a:lstStyle/>
        <a:p>
          <a:r>
            <a:rPr lang="en-US" sz="1000" b="1">
              <a:solidFill>
                <a:srgbClr val="FFFFFF"/>
              </a:solidFill>
              <a:latin typeface="Arial"/>
              <a:cs typeface="Arial"/>
            </a:rPr>
            <a:t>1.  Validate Claims</a:t>
          </a:r>
        </a:p>
      </xdr:txBody>
    </xdr:sp>
    <xdr:clientData/>
  </xdr:twoCellAnchor>
  <xdr:twoCellAnchor editAs="absolute">
    <xdr:from>
      <xdr:col>9</xdr:col>
      <xdr:colOff>76200</xdr:colOff>
      <xdr:row>5</xdr:row>
      <xdr:rowOff>47625</xdr:rowOff>
    </xdr:from>
    <xdr:to>
      <xdr:col>9</xdr:col>
      <xdr:colOff>2362200</xdr:colOff>
      <xdr:row>6</xdr:row>
      <xdr:rowOff>180975</xdr:rowOff>
    </xdr:to>
    <xdr:sp macro="[0]!RunAutoAdjudication" textlink="">
      <xdr:nvSpPr>
        <xdr:cNvPr id="5" name="btn_RunAutoAdjudication" descr="Runs macro RunAutoAdjudicatio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772525" y="1647825"/>
          <a:ext cx="2286000" cy="323850"/>
        </a:xfrm>
        <a:prstGeom prst="roundRect">
          <a:avLst/>
        </a:prstGeom>
        <a:solidFill>
          <a:srgbClr val="F1671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37160" rtlCol="0" anchor="ctr"/>
        <a:lstStyle/>
        <a:p>
          <a:r>
            <a:rPr lang="en-US" sz="1000" b="1">
              <a:solidFill>
                <a:srgbClr val="FFFFFF"/>
              </a:solidFill>
              <a:latin typeface="Arial"/>
              <a:cs typeface="Arial"/>
            </a:rPr>
            <a:t>2.  Run Auto-Adjudication (Bot)</a:t>
          </a:r>
        </a:p>
      </xdr:txBody>
    </xdr:sp>
    <xdr:clientData/>
  </xdr:twoCellAnchor>
  <xdr:twoCellAnchor editAs="absolute">
    <xdr:from>
      <xdr:col>9</xdr:col>
      <xdr:colOff>76200</xdr:colOff>
      <xdr:row>7</xdr:row>
      <xdr:rowOff>66675</xdr:rowOff>
    </xdr:from>
    <xdr:to>
      <xdr:col>9</xdr:col>
      <xdr:colOff>2362200</xdr:colOff>
      <xdr:row>9</xdr:row>
      <xdr:rowOff>9525</xdr:rowOff>
    </xdr:to>
    <xdr:sp macro="[0]!HighlightSLABreaches" textlink="">
      <xdr:nvSpPr>
        <xdr:cNvPr id="6" name="btn_HighlightSLABreaches" descr="Runs macro HighlightSLABreache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772525" y="2047875"/>
          <a:ext cx="2286000" cy="323850"/>
        </a:xfrm>
        <a:prstGeom prst="roundRect">
          <a:avLst/>
        </a:prstGeom>
        <a:solidFill>
          <a:srgbClr val="F1671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37160" rtlCol="0" anchor="ctr"/>
        <a:lstStyle/>
        <a:p>
          <a:r>
            <a:rPr lang="en-US" sz="1000" b="1">
              <a:solidFill>
                <a:srgbClr val="FFFFFF"/>
              </a:solidFill>
              <a:latin typeface="Arial"/>
              <a:cs typeface="Arial"/>
            </a:rPr>
            <a:t>3.  Highlight SLA Breaches</a:t>
          </a:r>
        </a:p>
      </xdr:txBody>
    </xdr:sp>
    <xdr:clientData/>
  </xdr:twoCellAnchor>
  <xdr:twoCellAnchor editAs="absolute">
    <xdr:from>
      <xdr:col>9</xdr:col>
      <xdr:colOff>76200</xdr:colOff>
      <xdr:row>9</xdr:row>
      <xdr:rowOff>85725</xdr:rowOff>
    </xdr:from>
    <xdr:to>
      <xdr:col>9</xdr:col>
      <xdr:colOff>2362200</xdr:colOff>
      <xdr:row>11</xdr:row>
      <xdr:rowOff>28575</xdr:rowOff>
    </xdr:to>
    <xdr:sp macro="[0]!FilterByStatus" textlink="">
      <xdr:nvSpPr>
        <xdr:cNvPr id="7" name="btn_FilterByStatus" descr="Runs macro FilterByStatus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772525" y="2447925"/>
          <a:ext cx="2286000" cy="323850"/>
        </a:xfrm>
        <a:prstGeom prst="roundRect">
          <a:avLst/>
        </a:prstGeom>
        <a:solidFill>
          <a:srgbClr val="F1671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37160" rtlCol="0" anchor="ctr"/>
        <a:lstStyle/>
        <a:p>
          <a:r>
            <a:rPr lang="en-US" sz="1000" b="1">
              <a:solidFill>
                <a:srgbClr val="FFFFFF"/>
              </a:solidFill>
              <a:latin typeface="Arial"/>
              <a:cs typeface="Arial"/>
            </a:rPr>
            <a:t>4.  Filter Claims by Status</a:t>
          </a:r>
        </a:p>
      </xdr:txBody>
    </xdr:sp>
    <xdr:clientData/>
  </xdr:twoCellAnchor>
  <xdr:twoCellAnchor editAs="absolute">
    <xdr:from>
      <xdr:col>9</xdr:col>
      <xdr:colOff>76200</xdr:colOff>
      <xdr:row>11</xdr:row>
      <xdr:rowOff>104775</xdr:rowOff>
    </xdr:from>
    <xdr:to>
      <xdr:col>9</xdr:col>
      <xdr:colOff>2362200</xdr:colOff>
      <xdr:row>13</xdr:row>
      <xdr:rowOff>47625</xdr:rowOff>
    </xdr:to>
    <xdr:sp macro="[0]!ClearFiltersAndHighlights" textlink="">
      <xdr:nvSpPr>
        <xdr:cNvPr id="8" name="btn_ClearFiltersAndHighlights" descr="Runs macro ClearFiltersAndHighlights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772525" y="2847975"/>
          <a:ext cx="2286000" cy="323850"/>
        </a:xfrm>
        <a:prstGeom prst="roundRect">
          <a:avLst/>
        </a:prstGeom>
        <a:solidFill>
          <a:srgbClr val="F1671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37160" rtlCol="0" anchor="ctr"/>
        <a:lstStyle/>
        <a:p>
          <a:r>
            <a:rPr lang="en-US" sz="1000" b="1">
              <a:solidFill>
                <a:srgbClr val="FFFFFF"/>
              </a:solidFill>
              <a:latin typeface="Arial"/>
              <a:cs typeface="Arial"/>
            </a:rPr>
            <a:t>5.  Clear Filters &amp; Highlights</a:t>
          </a:r>
        </a:p>
      </xdr:txBody>
    </xdr:sp>
    <xdr:clientData/>
  </xdr:twoCellAnchor>
  <xdr:twoCellAnchor editAs="absolute">
    <xdr:from>
      <xdr:col>9</xdr:col>
      <xdr:colOff>76200</xdr:colOff>
      <xdr:row>13</xdr:row>
      <xdr:rowOff>123825</xdr:rowOff>
    </xdr:from>
    <xdr:to>
      <xdr:col>9</xdr:col>
      <xdr:colOff>2362200</xdr:colOff>
      <xdr:row>15</xdr:row>
      <xdr:rowOff>66675</xdr:rowOff>
    </xdr:to>
    <xdr:sp macro="[0]!AddNewClaim" textlink="">
      <xdr:nvSpPr>
        <xdr:cNvPr id="9" name="btn_AddNewClaim" descr="Runs macro AddNewClaim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772525" y="3248025"/>
          <a:ext cx="2286000" cy="323850"/>
        </a:xfrm>
        <a:prstGeom prst="roundRect">
          <a:avLst/>
        </a:prstGeom>
        <a:solidFill>
          <a:srgbClr val="F1671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37160" rtlCol="0" anchor="ctr"/>
        <a:lstStyle/>
        <a:p>
          <a:r>
            <a:rPr lang="en-US" sz="1000" b="1">
              <a:solidFill>
                <a:srgbClr val="FFFFFF"/>
              </a:solidFill>
              <a:latin typeface="Arial"/>
              <a:cs typeface="Arial"/>
            </a:rPr>
            <a:t>6.  Add New Claim</a:t>
          </a:r>
        </a:p>
      </xdr:txBody>
    </xdr:sp>
    <xdr:clientData/>
  </xdr:twoCellAnchor>
  <xdr:twoCellAnchor editAs="absolute">
    <xdr:from>
      <xdr:col>9</xdr:col>
      <xdr:colOff>76200</xdr:colOff>
      <xdr:row>15</xdr:row>
      <xdr:rowOff>142875</xdr:rowOff>
    </xdr:from>
    <xdr:to>
      <xdr:col>9</xdr:col>
      <xdr:colOff>2362200</xdr:colOff>
      <xdr:row>17</xdr:row>
      <xdr:rowOff>85725</xdr:rowOff>
    </xdr:to>
    <xdr:sp macro="[0]!GenerateSummaryReport" textlink="">
      <xdr:nvSpPr>
        <xdr:cNvPr id="10" name="btn_GenerateSummaryReport" descr="Runs macro GenerateSummaryRepo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772525" y="3648075"/>
          <a:ext cx="2286000" cy="323850"/>
        </a:xfrm>
        <a:prstGeom prst="roundRect">
          <a:avLst/>
        </a:prstGeom>
        <a:solidFill>
          <a:srgbClr val="F1671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37160" rtlCol="0" anchor="ctr"/>
        <a:lstStyle/>
        <a:p>
          <a:r>
            <a:rPr lang="en-US" sz="1000" b="1">
              <a:solidFill>
                <a:srgbClr val="FFFFFF"/>
              </a:solidFill>
              <a:latin typeface="Arial"/>
              <a:cs typeface="Arial"/>
            </a:rPr>
            <a:t>7.  Generate Summary Report</a:t>
          </a:r>
        </a:p>
      </xdr:txBody>
    </xdr:sp>
    <xdr:clientData/>
  </xdr:twoCellAnchor>
  <xdr:twoCellAnchor editAs="absolute">
    <xdr:from>
      <xdr:col>9</xdr:col>
      <xdr:colOff>76200</xdr:colOff>
      <xdr:row>17</xdr:row>
      <xdr:rowOff>161925</xdr:rowOff>
    </xdr:from>
    <xdr:to>
      <xdr:col>9</xdr:col>
      <xdr:colOff>2362200</xdr:colOff>
      <xdr:row>19</xdr:row>
      <xdr:rowOff>104775</xdr:rowOff>
    </xdr:to>
    <xdr:sp macro="[0]!ExportClaimsToCSV" textlink="">
      <xdr:nvSpPr>
        <xdr:cNvPr id="11" name="btn_ExportClaimsToCSV" descr="Runs macro ExportClaimsToCSV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772525" y="4048125"/>
          <a:ext cx="2286000" cy="323850"/>
        </a:xfrm>
        <a:prstGeom prst="roundRect">
          <a:avLst/>
        </a:prstGeom>
        <a:solidFill>
          <a:srgbClr val="F1671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37160" rtlCol="0" anchor="ctr"/>
        <a:lstStyle/>
        <a:p>
          <a:r>
            <a:rPr lang="en-US" sz="1000" b="1">
              <a:solidFill>
                <a:srgbClr val="FFFFFF"/>
              </a:solidFill>
              <a:latin typeface="Arial"/>
              <a:cs typeface="Arial"/>
            </a:rPr>
            <a:t>8.  Export Claims to CSV</a:t>
          </a:r>
        </a:p>
      </xdr:txBody>
    </xdr:sp>
    <xdr:clientData/>
  </xdr:twoCellAnchor>
  <xdr:twoCellAnchor editAs="absolute">
    <xdr:from>
      <xdr:col>9</xdr:col>
      <xdr:colOff>76200</xdr:colOff>
      <xdr:row>19</xdr:row>
      <xdr:rowOff>180975</xdr:rowOff>
    </xdr:from>
    <xdr:to>
      <xdr:col>9</xdr:col>
      <xdr:colOff>2362200</xdr:colOff>
      <xdr:row>21</xdr:row>
      <xdr:rowOff>123825</xdr:rowOff>
    </xdr:to>
    <xdr:sp macro="[0]!ResetDemoData" textlink="">
      <xdr:nvSpPr>
        <xdr:cNvPr id="12" name="btn_ResetDemoData" descr="Runs macro ResetDemoData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772525" y="4448175"/>
          <a:ext cx="2286000" cy="323850"/>
        </a:xfrm>
        <a:prstGeom prst="roundRect">
          <a:avLst/>
        </a:prstGeom>
        <a:solidFill>
          <a:srgbClr val="40404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37160" rtlCol="0" anchor="ctr"/>
        <a:lstStyle/>
        <a:p>
          <a:r>
            <a:rPr lang="en-US" sz="1000" b="1">
              <a:solidFill>
                <a:srgbClr val="FFFFFF"/>
              </a:solidFill>
              <a:latin typeface="Arial"/>
              <a:cs typeface="Arial"/>
            </a:rPr>
            <a:t>Reset Demo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7"/>
  <sheetViews>
    <sheetView showGridLines="0" tabSelected="1" zoomScale="85" zoomScaleNormal="85" workbookViewId="0"/>
  </sheetViews>
  <sheetFormatPr defaultRowHeight="15"/>
  <cols>
    <col min="1" max="1" width="2.7109375" customWidth="1"/>
    <col min="2" max="8" width="17.7109375" customWidth="1"/>
    <col min="9" max="9" width="3.7109375" customWidth="1"/>
    <col min="10" max="10" width="36.7109375" customWidth="1"/>
    <col min="11" max="11" width="2.7109375" customWidth="1"/>
  </cols>
  <sheetData>
    <row r="1" spans="1:11" ht="36" customHeight="1">
      <c r="A1" s="1"/>
      <c r="B1" s="2" t="s">
        <v>0</v>
      </c>
      <c r="C1" s="1"/>
      <c r="D1" s="1"/>
      <c r="E1" s="1"/>
      <c r="F1" s="1"/>
      <c r="G1" s="1"/>
      <c r="H1" s="1"/>
      <c r="I1" s="1"/>
      <c r="J1" s="1"/>
      <c r="K1" s="1"/>
    </row>
    <row r="2" spans="1:11" ht="20.100000000000001" customHeight="1">
      <c r="A2" s="1"/>
      <c r="B2" s="3" t="s">
        <v>1</v>
      </c>
      <c r="C2" s="1"/>
      <c r="D2" s="1"/>
      <c r="E2" s="1"/>
      <c r="F2" s="1"/>
      <c r="G2" s="1"/>
      <c r="H2" s="1"/>
      <c r="I2" s="1"/>
      <c r="J2" s="1"/>
      <c r="K2" s="1"/>
    </row>
    <row r="4" spans="1:11" ht="21.95" customHeight="1">
      <c r="B4" s="4" t="s">
        <v>2</v>
      </c>
      <c r="C4" s="4" t="s">
        <v>3</v>
      </c>
      <c r="D4" s="4" t="s">
        <v>4</v>
      </c>
      <c r="E4" s="4" t="s">
        <v>5</v>
      </c>
      <c r="F4" s="4" t="s">
        <v>6</v>
      </c>
      <c r="G4" s="4" t="s">
        <v>7</v>
      </c>
      <c r="J4" s="5" t="s">
        <v>8</v>
      </c>
    </row>
    <row r="5" spans="1:11" ht="33.950000000000003" customHeight="1">
      <c r="B5" s="6">
        <f>COUNTA(Claims_Data!$A$2:$A$1000)</f>
        <v>58</v>
      </c>
      <c r="C5" s="7">
        <f>SUM(Claims_Data!$P$2:$P$1000)</f>
        <v>283381.13</v>
      </c>
      <c r="D5" s="7">
        <f>SUM(Claims_Data!$R$2:$R$1000)</f>
        <v>39640.14</v>
      </c>
      <c r="E5" s="6">
        <f>COUNTIF(Claims_Data!$T$2:$T$1000,"Submitted")+COUNTIF(Claims_Data!$T$2:$T$1000,"In Review")+COUNTIF(Claims_Data!$T$2:$T$1000,"Pended")</f>
        <v>29</v>
      </c>
      <c r="F5" s="8">
        <f>IFERROR(COUNTIF(Claims_Data!$T$2:$T$1000,"Denied")/(COUNTIF(Claims_Data!$T$2:$T$1000,"Denied")+COUNTIF(Claims_Data!$T$2:$T$1000,"Approved")+COUNTIF(Claims_Data!$T$2:$T$1000,"Paid")),0)</f>
        <v>0.2413793103448276</v>
      </c>
      <c r="G5" s="9">
        <f ca="1">COUNTIFS(Claims_Data!$Z$2:$Z$1000,"Breached",Claims_Data!$T$2:$T$1000,"Submitted")+COUNTIFS(Claims_Data!$Z$2:$Z$1000,"Breached",Claims_Data!$T$2:$T$1000,"In Review")+COUNTIFS(Claims_Data!$Z$2:$Z$1000,"Breached",Claims_Data!$T$2:$T$1000,"Pended")</f>
        <v>14</v>
      </c>
      <c r="J5" s="10"/>
    </row>
    <row r="6" spans="1:11">
      <c r="B6" s="11" t="s">
        <v>9</v>
      </c>
      <c r="J6" s="10"/>
    </row>
    <row r="7" spans="1:11">
      <c r="J7" s="10"/>
    </row>
    <row r="8" spans="1:11">
      <c r="B8" s="12" t="s">
        <v>10</v>
      </c>
      <c r="C8" s="12"/>
      <c r="D8" s="12"/>
      <c r="E8" s="12"/>
      <c r="J8" s="10"/>
    </row>
    <row r="9" spans="1:11">
      <c r="B9" s="13" t="s">
        <v>11</v>
      </c>
      <c r="C9" s="13" t="s">
        <v>12</v>
      </c>
      <c r="D9" s="13" t="s">
        <v>13</v>
      </c>
      <c r="E9" s="13" t="s">
        <v>14</v>
      </c>
      <c r="J9" s="10"/>
    </row>
    <row r="10" spans="1:11">
      <c r="B10" s="14" t="s">
        <v>15</v>
      </c>
      <c r="C10" s="15">
        <f>COUNTIF(Claims_Data!$T$2:$T$1000,B10)</f>
        <v>15</v>
      </c>
      <c r="D10" s="16">
        <f>SUMIF(Claims_Data!$T$2:$T$1000,B10,Claims_Data!$P$2:$P$1000)</f>
        <v>70346.12999999999</v>
      </c>
      <c r="E10" s="16">
        <f>SUMIF(Claims_Data!$T$2:$T$1000,B10,Claims_Data!$R$2:$R$1000)</f>
        <v>0</v>
      </c>
      <c r="J10" s="10"/>
    </row>
    <row r="11" spans="1:11">
      <c r="B11" s="14" t="s">
        <v>16</v>
      </c>
      <c r="C11" s="15">
        <f>COUNTIF(Claims_Data!$T$2:$T$1000,B11)</f>
        <v>8</v>
      </c>
      <c r="D11" s="16">
        <f>SUMIF(Claims_Data!$T$2:$T$1000,B11,Claims_Data!$P$2:$P$1000)</f>
        <v>26958.809999999998</v>
      </c>
      <c r="E11" s="16">
        <f>SUMIF(Claims_Data!$T$2:$T$1000,B11,Claims_Data!$R$2:$R$1000)</f>
        <v>0</v>
      </c>
      <c r="J11" s="10"/>
    </row>
    <row r="12" spans="1:11">
      <c r="B12" s="14" t="s">
        <v>17</v>
      </c>
      <c r="C12" s="15">
        <f>COUNTIF(Claims_Data!$T$2:$T$1000,B12)</f>
        <v>6</v>
      </c>
      <c r="D12" s="16">
        <f>SUMIF(Claims_Data!$T$2:$T$1000,B12,Claims_Data!$P$2:$P$1000)</f>
        <v>89340.63</v>
      </c>
      <c r="E12" s="16">
        <f>SUMIF(Claims_Data!$T$2:$T$1000,B12,Claims_Data!$R$2:$R$1000)</f>
        <v>0</v>
      </c>
      <c r="J12" s="10"/>
    </row>
    <row r="13" spans="1:11">
      <c r="B13" s="14" t="s">
        <v>18</v>
      </c>
      <c r="C13" s="15">
        <f>COUNTIF(Claims_Data!$T$2:$T$1000,B13)</f>
        <v>7</v>
      </c>
      <c r="D13" s="16">
        <f>SUMIF(Claims_Data!$T$2:$T$1000,B13,Claims_Data!$P$2:$P$1000)</f>
        <v>37378.800000000003</v>
      </c>
      <c r="E13" s="16">
        <f>SUMIF(Claims_Data!$T$2:$T$1000,B13,Claims_Data!$R$2:$R$1000)</f>
        <v>19528.71</v>
      </c>
      <c r="J13" s="10"/>
    </row>
    <row r="14" spans="1:11">
      <c r="B14" s="14" t="s">
        <v>19</v>
      </c>
      <c r="C14" s="15">
        <f>COUNTIF(Claims_Data!$T$2:$T$1000,B14)</f>
        <v>15</v>
      </c>
      <c r="D14" s="16">
        <f>SUMIF(Claims_Data!$T$2:$T$1000,B14,Claims_Data!$P$2:$P$1000)</f>
        <v>43167.12</v>
      </c>
      <c r="E14" s="16">
        <f>SUMIF(Claims_Data!$T$2:$T$1000,B14,Claims_Data!$R$2:$R$1000)</f>
        <v>20111.430000000004</v>
      </c>
      <c r="J14" s="10"/>
    </row>
    <row r="15" spans="1:11">
      <c r="B15" s="14" t="s">
        <v>20</v>
      </c>
      <c r="C15" s="15">
        <f>COUNTIF(Claims_Data!$T$2:$T$1000,B15)</f>
        <v>7</v>
      </c>
      <c r="D15" s="16">
        <f>SUMIF(Claims_Data!$T$2:$T$1000,B15,Claims_Data!$P$2:$P$1000)</f>
        <v>16189.64</v>
      </c>
      <c r="E15" s="16">
        <f>SUMIF(Claims_Data!$T$2:$T$1000,B15,Claims_Data!$R$2:$R$1000)</f>
        <v>0</v>
      </c>
      <c r="J15" s="10"/>
    </row>
    <row r="16" spans="1:11">
      <c r="B16" s="17" t="s">
        <v>21</v>
      </c>
      <c r="C16" s="18">
        <f>SUM(C10:C15)</f>
        <v>58</v>
      </c>
      <c r="D16" s="19">
        <f>SUM(D10:D15)</f>
        <v>283381.13</v>
      </c>
      <c r="E16" s="19">
        <f>SUM(E10:E15)</f>
        <v>39640.14</v>
      </c>
      <c r="J16" s="10"/>
    </row>
    <row r="17" spans="2:10">
      <c r="J17" s="10"/>
    </row>
    <row r="18" spans="2:10">
      <c r="J18" s="10"/>
    </row>
    <row r="19" spans="2:10">
      <c r="B19" s="12" t="s">
        <v>22</v>
      </c>
      <c r="C19" s="12"/>
      <c r="D19" s="12"/>
      <c r="E19" s="12"/>
      <c r="J19" s="10"/>
    </row>
    <row r="20" spans="2:10">
      <c r="B20" s="13" t="s">
        <v>23</v>
      </c>
      <c r="C20" s="13" t="s">
        <v>12</v>
      </c>
      <c r="D20" s="13" t="s">
        <v>13</v>
      </c>
      <c r="E20" s="13" t="s">
        <v>14</v>
      </c>
      <c r="J20" s="10"/>
    </row>
    <row r="21" spans="2:10">
      <c r="B21" s="14" t="s">
        <v>24</v>
      </c>
      <c r="C21" s="15">
        <f>COUNTIF(Claims_Data!$M$2:$M$1000,B21)</f>
        <v>6</v>
      </c>
      <c r="D21" s="16">
        <f>SUMIF(Claims_Data!$M$2:$M$1000,B21,Claims_Data!$P$2:$P$1000)</f>
        <v>207111.03</v>
      </c>
      <c r="E21" s="16">
        <f>SUMIF(Claims_Data!$M$2:$M$1000,B21,Claims_Data!$R$2:$R$1000)</f>
        <v>25055.58</v>
      </c>
      <c r="J21" s="10"/>
    </row>
    <row r="22" spans="2:10">
      <c r="B22" s="14" t="s">
        <v>25</v>
      </c>
      <c r="C22" s="15">
        <f>COUNTIF(Claims_Data!$M$2:$M$1000,B22)</f>
        <v>10</v>
      </c>
      <c r="D22" s="16">
        <f>SUMIF(Claims_Data!$M$2:$M$1000,B22,Claims_Data!$P$2:$P$1000)</f>
        <v>19493.080000000002</v>
      </c>
      <c r="E22" s="16">
        <f>SUMIF(Claims_Data!$M$2:$M$1000,B22,Claims_Data!$R$2:$R$1000)</f>
        <v>1302.82</v>
      </c>
      <c r="J22" s="10"/>
    </row>
    <row r="23" spans="2:10">
      <c r="B23" s="14" t="s">
        <v>26</v>
      </c>
      <c r="C23" s="15">
        <f>COUNTIF(Claims_Data!$M$2:$M$1000,B23)</f>
        <v>20</v>
      </c>
      <c r="D23" s="16">
        <f>SUMIF(Claims_Data!$M$2:$M$1000,B23,Claims_Data!$P$2:$P$1000)</f>
        <v>7566.77</v>
      </c>
      <c r="E23" s="16">
        <f>SUMIF(Claims_Data!$M$2:$M$1000,B23,Claims_Data!$R$2:$R$1000)</f>
        <v>1500.9699999999998</v>
      </c>
      <c r="J23" s="10"/>
    </row>
    <row r="24" spans="2:10">
      <c r="B24" s="14" t="s">
        <v>27</v>
      </c>
      <c r="C24" s="15">
        <f>COUNTIF(Claims_Data!$M$2:$M$1000,B24)</f>
        <v>10</v>
      </c>
      <c r="D24" s="16">
        <f>SUMIF(Claims_Data!$M$2:$M$1000,B24,Claims_Data!$P$2:$P$1000)</f>
        <v>46739.009999999995</v>
      </c>
      <c r="E24" s="16">
        <f>SUMIF(Claims_Data!$M$2:$M$1000,B24,Claims_Data!$R$2:$R$1000)</f>
        <v>11119.26</v>
      </c>
      <c r="J24" s="10"/>
    </row>
    <row r="25" spans="2:10">
      <c r="B25" s="14" t="s">
        <v>28</v>
      </c>
      <c r="C25" s="15">
        <f>COUNTIF(Claims_Data!$M$2:$M$1000,B25)</f>
        <v>11</v>
      </c>
      <c r="D25" s="16">
        <f>SUMIF(Claims_Data!$M$2:$M$1000,B25,Claims_Data!$P$2:$P$1000)</f>
        <v>2219.34</v>
      </c>
      <c r="E25" s="16">
        <f>SUMIF(Claims_Data!$M$2:$M$1000,B25,Claims_Data!$R$2:$R$1000)</f>
        <v>587.45000000000005</v>
      </c>
      <c r="J25" s="20"/>
    </row>
    <row r="26" spans="2:10">
      <c r="B26" s="14" t="s">
        <v>29</v>
      </c>
      <c r="C26" s="15">
        <f>COUNTIF(Claims_Data!$M$2:$M$1000,B26)</f>
        <v>1</v>
      </c>
      <c r="D26" s="16">
        <f>SUMIF(Claims_Data!$M$2:$M$1000,B26,Claims_Data!$P$2:$P$1000)</f>
        <v>251.9</v>
      </c>
      <c r="E26" s="16">
        <f>SUMIF(Claims_Data!$M$2:$M$1000,B26,Claims_Data!$R$2:$R$1000)</f>
        <v>74.06</v>
      </c>
    </row>
    <row r="27" spans="2:10">
      <c r="B27" s="17" t="s">
        <v>21</v>
      </c>
      <c r="C27" s="18">
        <f>SUM(C21:C26)</f>
        <v>58</v>
      </c>
      <c r="D27" s="19">
        <f>SUM(D21:D26)</f>
        <v>283381.13</v>
      </c>
      <c r="E27" s="19">
        <f>SUM(E21:E26)</f>
        <v>39640.14</v>
      </c>
    </row>
    <row r="28" spans="2:10">
      <c r="J28" s="21" t="s">
        <v>30</v>
      </c>
    </row>
    <row r="29" spans="2:10" ht="44.1" customHeight="1">
      <c r="J29" s="22" t="s">
        <v>31</v>
      </c>
    </row>
    <row r="30" spans="2:10">
      <c r="B30" s="12" t="s">
        <v>32</v>
      </c>
      <c r="C30" s="12"/>
      <c r="D30" s="12"/>
      <c r="E30" s="12"/>
    </row>
    <row r="31" spans="2:10">
      <c r="B31" s="13" t="s">
        <v>33</v>
      </c>
      <c r="C31" s="13" t="s">
        <v>34</v>
      </c>
      <c r="D31" s="13" t="s">
        <v>35</v>
      </c>
      <c r="E31" s="13" t="s">
        <v>36</v>
      </c>
      <c r="J31" s="38" t="s">
        <v>37</v>
      </c>
    </row>
    <row r="32" spans="2:10">
      <c r="B32" s="14" t="s">
        <v>38</v>
      </c>
      <c r="C32" s="15">
        <f>COUNTIFS(Claims_Data!$V$2:$V$1000,B32,Claims_Data!$T$2:$T$1000,"Submitted")+COUNTIFS(Claims_Data!$V$2:$V$1000,B32,Claims_Data!$T$2:$T$1000,"In Review")+COUNTIFS(Claims_Data!$V$2:$V$1000,B32,Claims_Data!$T$2:$T$1000,"Pended")</f>
        <v>4</v>
      </c>
      <c r="D32" s="16">
        <f>SUMIFS(Claims_Data!$P$2:$P$1000,Claims_Data!$V$2:$V$1000,B32,Claims_Data!$T$2:$T$1000,"Submitted")+SUMIFS(Claims_Data!$P$2:$P$1000,Claims_Data!$V$2:$V$1000,B32,Claims_Data!$T$2:$T$1000,"In Review")+SUMIFS(Claims_Data!$P$2:$P$1000,Claims_Data!$V$2:$V$1000,B32,Claims_Data!$T$2:$T$1000,"Pended")</f>
        <v>34534.509999999995</v>
      </c>
      <c r="E32" s="15">
        <f ca="1">COUNTIFS(Claims_Data!$V$2:$V$1000,B32,Claims_Data!$Z$2:$Z$1000,"Breached",Claims_Data!$T$2:$T$1000,"Submitted")+COUNTIFS(Claims_Data!$V$2:$V$1000,B32,Claims_Data!$Z$2:$Z$1000,"Breached",Claims_Data!$T$2:$T$1000,"In Review")+COUNTIFS(Claims_Data!$V$2:$V$1000,B32,Claims_Data!$Z$2:$Z$1000,"Breached",Claims_Data!$T$2:$T$1000,"Pended")</f>
        <v>4</v>
      </c>
      <c r="J32" s="38"/>
    </row>
    <row r="33" spans="2:10">
      <c r="B33" s="14" t="s">
        <v>39</v>
      </c>
      <c r="C33" s="15">
        <f>COUNTIFS(Claims_Data!$V$2:$V$1000,B33,Claims_Data!$T$2:$T$1000,"Submitted")+COUNTIFS(Claims_Data!$V$2:$V$1000,B33,Claims_Data!$T$2:$T$1000,"In Review")+COUNTIFS(Claims_Data!$V$2:$V$1000,B33,Claims_Data!$T$2:$T$1000,"Pended")</f>
        <v>3</v>
      </c>
      <c r="D33" s="16">
        <f>SUMIFS(Claims_Data!$P$2:$P$1000,Claims_Data!$V$2:$V$1000,B33,Claims_Data!$T$2:$T$1000,"Submitted")+SUMIFS(Claims_Data!$P$2:$P$1000,Claims_Data!$V$2:$V$1000,B33,Claims_Data!$T$2:$T$1000,"In Review")+SUMIFS(Claims_Data!$P$2:$P$1000,Claims_Data!$V$2:$V$1000,B33,Claims_Data!$T$2:$T$1000,"Pended")</f>
        <v>7846.41</v>
      </c>
      <c r="E33" s="15">
        <f ca="1">COUNTIFS(Claims_Data!$V$2:$V$1000,B33,Claims_Data!$Z$2:$Z$1000,"Breached",Claims_Data!$T$2:$T$1000,"Submitted")+COUNTIFS(Claims_Data!$V$2:$V$1000,B33,Claims_Data!$Z$2:$Z$1000,"Breached",Claims_Data!$T$2:$T$1000,"In Review")+COUNTIFS(Claims_Data!$V$2:$V$1000,B33,Claims_Data!$Z$2:$Z$1000,"Breached",Claims_Data!$T$2:$T$1000,"Pended")</f>
        <v>3</v>
      </c>
      <c r="J33" s="38"/>
    </row>
    <row r="34" spans="2:10">
      <c r="B34" s="14" t="s">
        <v>40</v>
      </c>
      <c r="C34" s="15">
        <f>COUNTIFS(Claims_Data!$V$2:$V$1000,B34,Claims_Data!$T$2:$T$1000,"Submitted")+COUNTIFS(Claims_Data!$V$2:$V$1000,B34,Claims_Data!$T$2:$T$1000,"In Review")+COUNTIFS(Claims_Data!$V$2:$V$1000,B34,Claims_Data!$T$2:$T$1000,"Pended")</f>
        <v>3</v>
      </c>
      <c r="D34" s="16">
        <f>SUMIFS(Claims_Data!$P$2:$P$1000,Claims_Data!$V$2:$V$1000,B34,Claims_Data!$T$2:$T$1000,"Submitted")+SUMIFS(Claims_Data!$P$2:$P$1000,Claims_Data!$V$2:$V$1000,B34,Claims_Data!$T$2:$T$1000,"In Review")+SUMIFS(Claims_Data!$P$2:$P$1000,Claims_Data!$V$2:$V$1000,B34,Claims_Data!$T$2:$T$1000,"Pended")</f>
        <v>663.03</v>
      </c>
      <c r="E34" s="15">
        <f ca="1">COUNTIFS(Claims_Data!$V$2:$V$1000,B34,Claims_Data!$Z$2:$Z$1000,"Breached",Claims_Data!$T$2:$T$1000,"Submitted")+COUNTIFS(Claims_Data!$V$2:$V$1000,B34,Claims_Data!$Z$2:$Z$1000,"Breached",Claims_Data!$T$2:$T$1000,"In Review")+COUNTIFS(Claims_Data!$V$2:$V$1000,B34,Claims_Data!$Z$2:$Z$1000,"Breached",Claims_Data!$T$2:$T$1000,"Pended")</f>
        <v>3</v>
      </c>
      <c r="J34" s="38"/>
    </row>
    <row r="35" spans="2:10">
      <c r="B35" s="14" t="s">
        <v>41</v>
      </c>
      <c r="C35" s="15">
        <f>COUNTIFS(Claims_Data!$V$2:$V$1000,B35,Claims_Data!$T$2:$T$1000,"Submitted")+COUNTIFS(Claims_Data!$V$2:$V$1000,B35,Claims_Data!$T$2:$T$1000,"In Review")+COUNTIFS(Claims_Data!$V$2:$V$1000,B35,Claims_Data!$T$2:$T$1000,"Pended")</f>
        <v>4</v>
      </c>
      <c r="D35" s="16">
        <f>SUMIFS(Claims_Data!$P$2:$P$1000,Claims_Data!$V$2:$V$1000,B35,Claims_Data!$T$2:$T$1000,"Submitted")+SUMIFS(Claims_Data!$P$2:$P$1000,Claims_Data!$V$2:$V$1000,B35,Claims_Data!$T$2:$T$1000,"In Review")+SUMIFS(Claims_Data!$P$2:$P$1000,Claims_Data!$V$2:$V$1000,B35,Claims_Data!$T$2:$T$1000,"Pended")</f>
        <v>73255.490000000005</v>
      </c>
      <c r="E35" s="15">
        <f ca="1">COUNTIFS(Claims_Data!$V$2:$V$1000,B35,Claims_Data!$Z$2:$Z$1000,"Breached",Claims_Data!$T$2:$T$1000,"Submitted")+COUNTIFS(Claims_Data!$V$2:$V$1000,B35,Claims_Data!$Z$2:$Z$1000,"Breached",Claims_Data!$T$2:$T$1000,"In Review")+COUNTIFS(Claims_Data!$V$2:$V$1000,B35,Claims_Data!$Z$2:$Z$1000,"Breached",Claims_Data!$T$2:$T$1000,"Pended")</f>
        <v>3</v>
      </c>
      <c r="J35" s="38"/>
    </row>
    <row r="36" spans="2:10">
      <c r="B36" s="14" t="s">
        <v>42</v>
      </c>
      <c r="C36" s="15">
        <f>COUNTIFS(Claims_Data!$V$2:$V$1000,B36,Claims_Data!$T$2:$T$1000,"Submitted")+COUNTIFS(Claims_Data!$V$2:$V$1000,B36,Claims_Data!$T$2:$T$1000,"In Review")+COUNTIFS(Claims_Data!$V$2:$V$1000,B36,Claims_Data!$T$2:$T$1000,"Pended")</f>
        <v>0</v>
      </c>
      <c r="D36" s="16">
        <f>SUMIFS(Claims_Data!$P$2:$P$1000,Claims_Data!$V$2:$V$1000,B36,Claims_Data!$T$2:$T$1000,"Submitted")+SUMIFS(Claims_Data!$P$2:$P$1000,Claims_Data!$V$2:$V$1000,B36,Claims_Data!$T$2:$T$1000,"In Review")+SUMIFS(Claims_Data!$P$2:$P$1000,Claims_Data!$V$2:$V$1000,B36,Claims_Data!$T$2:$T$1000,"Pended")</f>
        <v>0</v>
      </c>
      <c r="E36" s="15">
        <f>COUNTIFS(Claims_Data!$V$2:$V$1000,B36,Claims_Data!$Z$2:$Z$1000,"Breached",Claims_Data!$T$2:$T$1000,"Submitted")+COUNTIFS(Claims_Data!$V$2:$V$1000,B36,Claims_Data!$Z$2:$Z$1000,"Breached",Claims_Data!$T$2:$T$1000,"In Review")+COUNTIFS(Claims_Data!$V$2:$V$1000,B36,Claims_Data!$Z$2:$Z$1000,"Breached",Claims_Data!$T$2:$T$1000,"Pended")</f>
        <v>0</v>
      </c>
    </row>
    <row r="37" spans="2:10">
      <c r="B37" s="14" t="s">
        <v>43</v>
      </c>
      <c r="C37" s="15">
        <f>COUNTIFS(Claims_Data!$V$2:$V$1000,B37,Claims_Data!$T$2:$T$1000,"Submitted")+COUNTIFS(Claims_Data!$V$2:$V$1000,B37,Claims_Data!$T$2:$T$1000,"In Review")+COUNTIFS(Claims_Data!$V$2:$V$1000,B37,Claims_Data!$T$2:$T$1000,"Pended")</f>
        <v>15</v>
      </c>
      <c r="D37" s="16">
        <f>SUMIFS(Claims_Data!$P$2:$P$1000,Claims_Data!$V$2:$V$1000,B37,Claims_Data!$T$2:$T$1000,"Submitted")+SUMIFS(Claims_Data!$P$2:$P$1000,Claims_Data!$V$2:$V$1000,B37,Claims_Data!$T$2:$T$1000,"In Review")+SUMIFS(Claims_Data!$P$2:$P$1000,Claims_Data!$V$2:$V$1000,B37,Claims_Data!$T$2:$T$1000,"Pended")</f>
        <v>70346.12999999999</v>
      </c>
      <c r="E37" s="15">
        <f ca="1">COUNTIFS(Claims_Data!$V$2:$V$1000,B37,Claims_Data!$Z$2:$Z$1000,"Breached",Claims_Data!$T$2:$T$1000,"Submitted")+COUNTIFS(Claims_Data!$V$2:$V$1000,B37,Claims_Data!$Z$2:$Z$1000,"Breached",Claims_Data!$T$2:$T$1000,"In Review")+COUNTIFS(Claims_Data!$V$2:$V$1000,B37,Claims_Data!$Z$2:$Z$1000,"Breached",Claims_Data!$T$2:$T$1000,"Pended")</f>
        <v>1</v>
      </c>
    </row>
  </sheetData>
  <mergeCells count="1">
    <mergeCell ref="J31:J3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59"/>
  <sheetViews>
    <sheetView zoomScale="90" zoomScaleNormal="90" workbookViewId="0">
      <pane xSplit="1" ySplit="1" topLeftCell="B2" activePane="bottomRight" state="frozen"/>
      <selection pane="bottomRight"/>
      <selection pane="bottomLeft" activeCell="A2" sqref="A2"/>
      <selection pane="topRight" activeCell="B1" sqref="B1"/>
    </sheetView>
  </sheetViews>
  <sheetFormatPr defaultRowHeight="15"/>
  <cols>
    <col min="1" max="1" width="16.7109375" style="14" customWidth="1"/>
    <col min="2" max="3" width="12.7109375" style="24" customWidth="1"/>
    <col min="4" max="4" width="12.7109375" style="14" customWidth="1"/>
    <col min="5" max="5" width="18.7109375" style="14" customWidth="1"/>
    <col min="6" max="6" width="12.7109375" style="24" customWidth="1"/>
    <col min="7" max="7" width="13.7109375" style="14" customWidth="1"/>
    <col min="8" max="8" width="9.7109375" style="25" customWidth="1"/>
    <col min="9" max="9" width="11.7109375" style="25" customWidth="1"/>
    <col min="10" max="10" width="29.7109375" style="14" customWidth="1"/>
    <col min="11" max="11" width="12.7109375" style="26" customWidth="1"/>
    <col min="12" max="12" width="14.7109375" style="25" customWidth="1"/>
    <col min="13" max="13" width="12.7109375" style="25" customWidth="1"/>
    <col min="14" max="14" width="11.7109375" style="25" customWidth="1"/>
    <col min="15" max="15" width="11.7109375" style="26" customWidth="1"/>
    <col min="16" max="18" width="13.7109375" style="16" customWidth="1"/>
    <col min="19" max="19" width="12.7109375" style="16" customWidth="1"/>
    <col min="20" max="20" width="12.7109375" style="25" customWidth="1"/>
    <col min="21" max="21" width="40.7109375" style="14" customWidth="1"/>
    <col min="22" max="22" width="19.7109375" style="14" customWidth="1"/>
    <col min="23" max="23" width="9.7109375" style="25" customWidth="1"/>
    <col min="24" max="24" width="9.7109375" style="27" customWidth="1"/>
    <col min="25" max="25" width="12.7109375" style="24" customWidth="1"/>
    <col min="26" max="26" width="11.7109375" style="25" customWidth="1"/>
    <col min="27" max="27" width="34.7109375" style="14" customWidth="1"/>
    <col min="28" max="28" width="48.7109375" style="14" customWidth="1"/>
  </cols>
  <sheetData>
    <row r="1" spans="1:28" ht="32.1" customHeight="1">
      <c r="A1" s="28" t="s">
        <v>44</v>
      </c>
      <c r="B1" s="28" t="s">
        <v>45</v>
      </c>
      <c r="C1" s="28" t="s">
        <v>46</v>
      </c>
      <c r="D1" s="28" t="s">
        <v>47</v>
      </c>
      <c r="E1" s="28" t="s">
        <v>48</v>
      </c>
      <c r="F1" s="28" t="s">
        <v>49</v>
      </c>
      <c r="G1" s="28" t="s">
        <v>50</v>
      </c>
      <c r="H1" s="28" t="s">
        <v>51</v>
      </c>
      <c r="I1" s="28" t="s">
        <v>52</v>
      </c>
      <c r="J1" s="28" t="s">
        <v>53</v>
      </c>
      <c r="K1" s="28" t="s">
        <v>54</v>
      </c>
      <c r="L1" s="28" t="s">
        <v>55</v>
      </c>
      <c r="M1" s="28" t="s">
        <v>23</v>
      </c>
      <c r="N1" s="28" t="s">
        <v>56</v>
      </c>
      <c r="O1" s="28" t="s">
        <v>57</v>
      </c>
      <c r="P1" s="28" t="s">
        <v>58</v>
      </c>
      <c r="Q1" s="28" t="s">
        <v>59</v>
      </c>
      <c r="R1" s="28" t="s">
        <v>60</v>
      </c>
      <c r="S1" s="28" t="s">
        <v>61</v>
      </c>
      <c r="T1" s="28" t="s">
        <v>62</v>
      </c>
      <c r="U1" s="28" t="s">
        <v>63</v>
      </c>
      <c r="V1" s="28" t="s">
        <v>64</v>
      </c>
      <c r="W1" s="28" t="s">
        <v>65</v>
      </c>
      <c r="X1" s="28" t="s">
        <v>66</v>
      </c>
      <c r="Y1" s="28" t="s">
        <v>67</v>
      </c>
      <c r="Z1" s="28" t="s">
        <v>68</v>
      </c>
      <c r="AA1" s="28" t="s">
        <v>69</v>
      </c>
      <c r="AB1" s="28" t="s">
        <v>70</v>
      </c>
    </row>
    <row r="2" spans="1:28">
      <c r="A2" s="14" t="s">
        <v>71</v>
      </c>
      <c r="B2" s="24">
        <v>46194</v>
      </c>
      <c r="C2" s="24">
        <v>46175</v>
      </c>
      <c r="D2" s="14" t="s">
        <v>72</v>
      </c>
      <c r="E2" s="14" t="s">
        <v>73</v>
      </c>
      <c r="F2" s="24">
        <v>21159</v>
      </c>
      <c r="G2" s="14" t="s">
        <v>74</v>
      </c>
      <c r="H2" s="25" t="s">
        <v>75</v>
      </c>
      <c r="I2" s="25" t="s">
        <v>76</v>
      </c>
      <c r="J2" s="14" t="s">
        <v>77</v>
      </c>
      <c r="K2" s="26" t="s">
        <v>78</v>
      </c>
      <c r="L2" s="25" t="s">
        <v>79</v>
      </c>
      <c r="M2" s="25" t="s">
        <v>26</v>
      </c>
      <c r="N2" s="25" t="s">
        <v>80</v>
      </c>
      <c r="O2" s="26" t="s">
        <v>81</v>
      </c>
      <c r="P2" s="16">
        <v>200.73</v>
      </c>
      <c r="Q2" s="16">
        <v>84.31</v>
      </c>
      <c r="R2" s="16">
        <v>71.66</v>
      </c>
      <c r="S2" s="16">
        <f>IF(Q2="","",ROUND(Q2-R2,2))</f>
        <v>12.65</v>
      </c>
      <c r="T2" s="25" t="s">
        <v>18</v>
      </c>
      <c r="V2" s="14" t="s">
        <v>40</v>
      </c>
      <c r="W2" s="25" t="s">
        <v>82</v>
      </c>
      <c r="X2" s="27">
        <f ca="1">IF(A2="","",IF(Y2="",TODAY()-B2,Y2-B2))</f>
        <v>33</v>
      </c>
      <c r="Y2" s="24">
        <v>46227</v>
      </c>
      <c r="Z2" s="25" t="str">
        <f ca="1">IF(X2="","",IF(X2&gt;SLA_Days,"Breached",IF(X2&gt;=SLA_Days-5,"At Risk","Within SLA")))</f>
        <v>Breached</v>
      </c>
    </row>
    <row r="3" spans="1:28">
      <c r="A3" s="14" t="s">
        <v>83</v>
      </c>
      <c r="B3" s="24">
        <v>46199</v>
      </c>
      <c r="C3" s="24">
        <v>46195</v>
      </c>
      <c r="D3" s="14" t="s">
        <v>84</v>
      </c>
      <c r="E3" s="14" t="s">
        <v>85</v>
      </c>
      <c r="F3" s="24">
        <v>30414</v>
      </c>
      <c r="G3" s="14" t="s">
        <v>86</v>
      </c>
      <c r="H3" s="25" t="s">
        <v>87</v>
      </c>
      <c r="I3" s="25" t="s">
        <v>76</v>
      </c>
      <c r="J3" s="14" t="s">
        <v>88</v>
      </c>
      <c r="K3" s="26" t="s">
        <v>89</v>
      </c>
      <c r="L3" s="25" t="s">
        <v>79</v>
      </c>
      <c r="M3" s="25" t="s">
        <v>27</v>
      </c>
      <c r="N3" s="25" t="s">
        <v>90</v>
      </c>
      <c r="O3" s="26" t="s">
        <v>91</v>
      </c>
      <c r="P3" s="16">
        <v>5399.08</v>
      </c>
      <c r="Q3" s="16">
        <v>2753.53</v>
      </c>
      <c r="R3" s="16">
        <v>2202.8200000000002</v>
      </c>
      <c r="S3" s="16">
        <f>IF(Q3="","",ROUND(Q3-R3,2))</f>
        <v>550.71</v>
      </c>
      <c r="T3" s="25" t="s">
        <v>19</v>
      </c>
      <c r="V3" s="14" t="s">
        <v>38</v>
      </c>
      <c r="W3" s="25" t="s">
        <v>82</v>
      </c>
      <c r="X3" s="27">
        <f ca="1">IF(A3="","",IF(Y3="",TODAY()-B3,Y3-B3))</f>
        <v>20</v>
      </c>
      <c r="Y3" s="24">
        <v>46219</v>
      </c>
      <c r="Z3" s="25" t="str">
        <f ca="1">IF(X3="","",IF(X3&gt;SLA_Days,"Breached",IF(X3&gt;=SLA_Days-5,"At Risk","Within SLA")))</f>
        <v>Within SLA</v>
      </c>
    </row>
    <row r="4" spans="1:28">
      <c r="A4" s="14" t="s">
        <v>92</v>
      </c>
      <c r="B4" s="24">
        <v>46199</v>
      </c>
      <c r="C4" s="24">
        <v>46181</v>
      </c>
      <c r="D4" s="14" t="s">
        <v>93</v>
      </c>
      <c r="E4" s="14" t="s">
        <v>94</v>
      </c>
      <c r="F4" s="24">
        <v>41189</v>
      </c>
      <c r="G4" s="14" t="s">
        <v>95</v>
      </c>
      <c r="H4" s="25" t="s">
        <v>96</v>
      </c>
      <c r="I4" s="25" t="s">
        <v>76</v>
      </c>
      <c r="J4" s="14" t="s">
        <v>77</v>
      </c>
      <c r="K4" s="26" t="s">
        <v>78</v>
      </c>
      <c r="L4" s="25" t="s">
        <v>97</v>
      </c>
      <c r="M4" s="25" t="s">
        <v>26</v>
      </c>
      <c r="N4" s="25" t="s">
        <v>98</v>
      </c>
      <c r="O4" s="26" t="s">
        <v>99</v>
      </c>
      <c r="P4" s="16">
        <v>347.77</v>
      </c>
      <c r="Q4" s="16">
        <v>243.44</v>
      </c>
      <c r="R4" s="16">
        <v>219.1</v>
      </c>
      <c r="S4" s="16">
        <f>IF(Q4="","",ROUND(Q4-R4,2))</f>
        <v>24.34</v>
      </c>
      <c r="T4" s="25" t="s">
        <v>19</v>
      </c>
      <c r="V4" s="14" t="s">
        <v>41</v>
      </c>
      <c r="W4" s="25" t="s">
        <v>82</v>
      </c>
      <c r="X4" s="27">
        <f ca="1">IF(A4="","",IF(Y4="",TODAY()-B4,Y4-B4))</f>
        <v>33</v>
      </c>
      <c r="Y4" s="24">
        <v>46232</v>
      </c>
      <c r="Z4" s="25" t="str">
        <f ca="1">IF(X4="","",IF(X4&gt;SLA_Days,"Breached",IF(X4&gt;=SLA_Days-5,"At Risk","Within SLA")))</f>
        <v>Breached</v>
      </c>
    </row>
    <row r="5" spans="1:28">
      <c r="A5" s="14" t="s">
        <v>100</v>
      </c>
      <c r="B5" s="24">
        <v>46200</v>
      </c>
      <c r="C5" s="24">
        <v>46188</v>
      </c>
      <c r="D5" s="14" t="s">
        <v>101</v>
      </c>
      <c r="E5" s="14" t="s">
        <v>102</v>
      </c>
      <c r="F5" s="24">
        <v>30372</v>
      </c>
      <c r="G5" s="14" t="s">
        <v>103</v>
      </c>
      <c r="H5" s="25" t="s">
        <v>104</v>
      </c>
      <c r="I5" s="25" t="s">
        <v>76</v>
      </c>
      <c r="J5" s="14" t="s">
        <v>88</v>
      </c>
      <c r="K5" s="26" t="s">
        <v>89</v>
      </c>
      <c r="L5" s="25" t="s">
        <v>79</v>
      </c>
      <c r="M5" s="25" t="s">
        <v>27</v>
      </c>
      <c r="N5" s="25" t="s">
        <v>105</v>
      </c>
      <c r="O5" s="26" t="s">
        <v>106</v>
      </c>
      <c r="P5" s="16">
        <v>7266.32</v>
      </c>
      <c r="Q5" s="16">
        <v>0</v>
      </c>
      <c r="R5" s="16">
        <v>0</v>
      </c>
      <c r="S5" s="16">
        <f>IF(Q5="","",ROUND(Q5-R5,2))</f>
        <v>0</v>
      </c>
      <c r="T5" s="25" t="s">
        <v>20</v>
      </c>
      <c r="U5" s="14" t="s">
        <v>107</v>
      </c>
      <c r="V5" s="14" t="s">
        <v>40</v>
      </c>
      <c r="W5" s="25" t="s">
        <v>82</v>
      </c>
      <c r="X5" s="27">
        <f ca="1">IF(A5="","",IF(Y5="",TODAY()-B5,Y5-B5))</f>
        <v>23</v>
      </c>
      <c r="Y5" s="24">
        <v>46223</v>
      </c>
      <c r="Z5" s="25" t="str">
        <f ca="1">IF(X5="","",IF(X5&gt;SLA_Days,"Breached",IF(X5&gt;=SLA_Days-5,"At Risk","Within SLA")))</f>
        <v>Within SLA</v>
      </c>
    </row>
    <row r="6" spans="1:28">
      <c r="A6" s="14" t="s">
        <v>108</v>
      </c>
      <c r="B6" s="24">
        <v>46208</v>
      </c>
      <c r="C6" s="24">
        <v>46199</v>
      </c>
      <c r="D6" s="14" t="s">
        <v>109</v>
      </c>
      <c r="E6" s="14" t="s">
        <v>110</v>
      </c>
      <c r="F6" s="24">
        <v>28981</v>
      </c>
      <c r="G6" s="14" t="s">
        <v>111</v>
      </c>
      <c r="H6" s="25" t="s">
        <v>87</v>
      </c>
      <c r="I6" s="25" t="s">
        <v>76</v>
      </c>
      <c r="J6" s="14" t="s">
        <v>112</v>
      </c>
      <c r="K6" s="26" t="s">
        <v>113</v>
      </c>
      <c r="L6" s="25" t="s">
        <v>97</v>
      </c>
      <c r="M6" s="25" t="s">
        <v>28</v>
      </c>
      <c r="N6" s="25" t="s">
        <v>114</v>
      </c>
      <c r="O6" s="26" t="s">
        <v>115</v>
      </c>
      <c r="P6" s="16">
        <v>79.98</v>
      </c>
      <c r="Q6" s="16">
        <v>0</v>
      </c>
      <c r="R6" s="16">
        <v>0</v>
      </c>
      <c r="S6" s="16">
        <f>IF(Q6="","",ROUND(Q6-R6,2))</f>
        <v>0</v>
      </c>
      <c r="T6" s="25" t="s">
        <v>20</v>
      </c>
      <c r="U6" s="14" t="s">
        <v>116</v>
      </c>
      <c r="V6" s="14" t="s">
        <v>40</v>
      </c>
      <c r="W6" s="25" t="s">
        <v>82</v>
      </c>
      <c r="X6" s="27">
        <f ca="1">IF(A6="","",IF(Y6="",TODAY()-B6,Y6-B6))</f>
        <v>12</v>
      </c>
      <c r="Y6" s="24">
        <v>46220</v>
      </c>
      <c r="Z6" s="25" t="str">
        <f ca="1">IF(X6="","",IF(X6&gt;SLA_Days,"Breached",IF(X6&gt;=SLA_Days-5,"At Risk","Within SLA")))</f>
        <v>Within SLA</v>
      </c>
    </row>
    <row r="7" spans="1:28">
      <c r="A7" s="14" t="s">
        <v>117</v>
      </c>
      <c r="B7" s="24">
        <v>46213</v>
      </c>
      <c r="C7" s="24">
        <v>46206</v>
      </c>
      <c r="D7" s="14" t="s">
        <v>118</v>
      </c>
      <c r="E7" s="14" t="s">
        <v>119</v>
      </c>
      <c r="F7" s="24">
        <v>42515</v>
      </c>
      <c r="G7" s="14" t="s">
        <v>120</v>
      </c>
      <c r="H7" s="25" t="s">
        <v>75</v>
      </c>
      <c r="I7" s="25" t="s">
        <v>76</v>
      </c>
      <c r="J7" s="14" t="s">
        <v>121</v>
      </c>
      <c r="K7" s="26" t="s">
        <v>122</v>
      </c>
      <c r="L7" s="25" t="s">
        <v>97</v>
      </c>
      <c r="M7" s="25" t="s">
        <v>24</v>
      </c>
      <c r="N7" s="25" t="s">
        <v>123</v>
      </c>
      <c r="O7" s="26" t="s">
        <v>124</v>
      </c>
      <c r="P7" s="16">
        <v>26898.41</v>
      </c>
      <c r="Q7" s="16">
        <v>14794.13</v>
      </c>
      <c r="R7" s="16">
        <v>12575.01</v>
      </c>
      <c r="S7" s="16">
        <f>IF(Q7="","",ROUND(Q7-R7,2))</f>
        <v>2219.12</v>
      </c>
      <c r="T7" s="25" t="s">
        <v>19</v>
      </c>
      <c r="V7" s="14" t="s">
        <v>40</v>
      </c>
      <c r="W7" s="25" t="s">
        <v>125</v>
      </c>
      <c r="X7" s="27">
        <f ca="1">IF(A7="","",IF(Y7="",TODAY()-B7,Y7-B7))</f>
        <v>15</v>
      </c>
      <c r="Y7" s="24">
        <v>46228</v>
      </c>
      <c r="Z7" s="25" t="str">
        <f ca="1">IF(X7="","",IF(X7&gt;SLA_Days,"Breached",IF(X7&gt;=SLA_Days-5,"At Risk","Within SLA")))</f>
        <v>Within SLA</v>
      </c>
    </row>
    <row r="8" spans="1:28">
      <c r="A8" s="14" t="s">
        <v>126</v>
      </c>
      <c r="B8" s="24">
        <v>46217</v>
      </c>
      <c r="C8" s="24">
        <v>46204</v>
      </c>
      <c r="D8" s="14" t="s">
        <v>127</v>
      </c>
      <c r="E8" s="14" t="s">
        <v>128</v>
      </c>
      <c r="F8" s="24">
        <v>43092</v>
      </c>
      <c r="G8" s="14" t="s">
        <v>129</v>
      </c>
      <c r="H8" s="25" t="s">
        <v>75</v>
      </c>
      <c r="I8" s="25" t="s">
        <v>76</v>
      </c>
      <c r="J8" s="14" t="s">
        <v>112</v>
      </c>
      <c r="K8" s="26" t="s">
        <v>113</v>
      </c>
      <c r="L8" s="25" t="s">
        <v>97</v>
      </c>
      <c r="M8" s="25" t="s">
        <v>28</v>
      </c>
      <c r="N8" s="25" t="s">
        <v>130</v>
      </c>
      <c r="O8" s="26" t="s">
        <v>131</v>
      </c>
      <c r="P8" s="16">
        <v>246.95</v>
      </c>
      <c r="Q8" s="16">
        <v>185.21</v>
      </c>
      <c r="R8" s="16">
        <v>157.43</v>
      </c>
      <c r="S8" s="16">
        <f>IF(Q8="","",ROUND(Q8-R8,2))</f>
        <v>27.78</v>
      </c>
      <c r="T8" s="25" t="s">
        <v>19</v>
      </c>
      <c r="V8" s="14" t="s">
        <v>38</v>
      </c>
      <c r="W8" s="25" t="s">
        <v>82</v>
      </c>
      <c r="X8" s="27">
        <f ca="1">IF(A8="","",IF(Y8="",TODAY()-B8,Y8-B8))</f>
        <v>6</v>
      </c>
      <c r="Y8" s="24">
        <v>46223</v>
      </c>
      <c r="Z8" s="25" t="str">
        <f ca="1">IF(X8="","",IF(X8&gt;SLA_Days,"Breached",IF(X8&gt;=SLA_Days-5,"At Risk","Within SLA")))</f>
        <v>Within SLA</v>
      </c>
    </row>
    <row r="9" spans="1:28">
      <c r="A9" s="14" t="s">
        <v>132</v>
      </c>
      <c r="B9" s="24">
        <v>46218</v>
      </c>
      <c r="C9" s="24">
        <v>46212</v>
      </c>
      <c r="D9" s="14" t="s">
        <v>133</v>
      </c>
      <c r="E9" s="14" t="s">
        <v>134</v>
      </c>
      <c r="F9" s="24">
        <v>29698</v>
      </c>
      <c r="G9" s="14" t="s">
        <v>135</v>
      </c>
      <c r="H9" s="25" t="s">
        <v>75</v>
      </c>
      <c r="I9" s="25" t="s">
        <v>76</v>
      </c>
      <c r="J9" s="14" t="s">
        <v>136</v>
      </c>
      <c r="K9" s="26" t="s">
        <v>137</v>
      </c>
      <c r="L9" s="25" t="s">
        <v>97</v>
      </c>
      <c r="M9" s="25" t="s">
        <v>26</v>
      </c>
      <c r="N9" s="25" t="s">
        <v>98</v>
      </c>
      <c r="O9" s="26" t="s">
        <v>99</v>
      </c>
      <c r="P9" s="16">
        <v>310.75</v>
      </c>
      <c r="Q9" s="16">
        <v>217.52</v>
      </c>
      <c r="R9" s="16">
        <v>184.89</v>
      </c>
      <c r="S9" s="16">
        <f>IF(Q9="","",ROUND(Q9-R9,2))</f>
        <v>32.630000000000003</v>
      </c>
      <c r="T9" s="25" t="s">
        <v>18</v>
      </c>
      <c r="V9" s="14" t="s">
        <v>40</v>
      </c>
      <c r="W9" s="25" t="s">
        <v>125</v>
      </c>
      <c r="X9" s="27">
        <f ca="1">IF(A9="","",IF(Y9="",TODAY()-B9,Y9-B9))</f>
        <v>8</v>
      </c>
      <c r="Y9" s="24">
        <v>46226</v>
      </c>
      <c r="Z9" s="25" t="str">
        <f ca="1">IF(X9="","",IF(X9&gt;SLA_Days,"Breached",IF(X9&gt;=SLA_Days-5,"At Risk","Within SLA")))</f>
        <v>Within SLA</v>
      </c>
    </row>
    <row r="10" spans="1:28">
      <c r="A10" s="14" t="s">
        <v>138</v>
      </c>
      <c r="B10" s="24">
        <v>46219</v>
      </c>
      <c r="C10" s="24">
        <v>46199</v>
      </c>
      <c r="D10" s="14" t="s">
        <v>139</v>
      </c>
      <c r="E10" s="14" t="s">
        <v>140</v>
      </c>
      <c r="F10" s="24">
        <v>33964</v>
      </c>
      <c r="G10" s="14" t="s">
        <v>141</v>
      </c>
      <c r="H10" s="25" t="s">
        <v>87</v>
      </c>
      <c r="I10" s="25" t="s">
        <v>76</v>
      </c>
      <c r="J10" s="14" t="s">
        <v>142</v>
      </c>
      <c r="K10" s="26" t="s">
        <v>143</v>
      </c>
      <c r="L10" s="25" t="s">
        <v>79</v>
      </c>
      <c r="M10" s="25" t="s">
        <v>25</v>
      </c>
      <c r="N10" s="25" t="s">
        <v>144</v>
      </c>
      <c r="O10" s="26" t="s">
        <v>81</v>
      </c>
      <c r="P10" s="16">
        <v>218.51</v>
      </c>
      <c r="Q10" s="16">
        <v>0</v>
      </c>
      <c r="R10" s="16">
        <v>0</v>
      </c>
      <c r="S10" s="16">
        <f>IF(Q10="","",ROUND(Q10-R10,2))</f>
        <v>0</v>
      </c>
      <c r="T10" s="25" t="s">
        <v>20</v>
      </c>
      <c r="V10" s="14" t="s">
        <v>41</v>
      </c>
      <c r="W10" s="25" t="s">
        <v>82</v>
      </c>
      <c r="X10" s="27">
        <f ca="1">IF(A10="","",IF(Y10="",TODAY()-B10,Y10-B10))</f>
        <v>21</v>
      </c>
      <c r="Y10" s="24">
        <v>46240</v>
      </c>
      <c r="Z10" s="25" t="str">
        <f ca="1">IF(X10="","",IF(X10&gt;SLA_Days,"Breached",IF(X10&gt;=SLA_Days-5,"At Risk","Within SLA")))</f>
        <v>Within SLA</v>
      </c>
    </row>
    <row r="11" spans="1:28">
      <c r="A11" s="14" t="s">
        <v>145</v>
      </c>
      <c r="B11" s="24">
        <v>46222</v>
      </c>
      <c r="C11" s="24">
        <v>46202</v>
      </c>
      <c r="D11" s="14" t="s">
        <v>146</v>
      </c>
      <c r="E11" s="14" t="s">
        <v>147</v>
      </c>
      <c r="F11" s="24">
        <v>38964</v>
      </c>
      <c r="G11" s="14" t="s">
        <v>148</v>
      </c>
      <c r="H11" s="25" t="s">
        <v>75</v>
      </c>
      <c r="I11" s="25" t="s">
        <v>76</v>
      </c>
      <c r="J11" s="14" t="s">
        <v>88</v>
      </c>
      <c r="K11" s="26" t="s">
        <v>89</v>
      </c>
      <c r="L11" s="25" t="s">
        <v>79</v>
      </c>
      <c r="M11" s="25" t="s">
        <v>27</v>
      </c>
      <c r="N11" s="25" t="s">
        <v>90</v>
      </c>
      <c r="O11" s="26" t="s">
        <v>91</v>
      </c>
      <c r="P11" s="16">
        <v>4523.03</v>
      </c>
      <c r="Q11" s="16">
        <v>2306.75</v>
      </c>
      <c r="R11" s="16">
        <v>1960.74</v>
      </c>
      <c r="S11" s="16">
        <f>IF(Q11="","",ROUND(Q11-R11,2))</f>
        <v>346.01</v>
      </c>
      <c r="T11" s="25" t="s">
        <v>19</v>
      </c>
      <c r="V11" s="14" t="s">
        <v>39</v>
      </c>
      <c r="W11" s="25" t="s">
        <v>82</v>
      </c>
      <c r="X11" s="27">
        <f ca="1">IF(A11="","",IF(Y11="",TODAY()-B11,Y11-B11))</f>
        <v>6</v>
      </c>
      <c r="Y11" s="24">
        <v>46228</v>
      </c>
      <c r="Z11" s="25" t="str">
        <f ca="1">IF(X11="","",IF(X11&gt;SLA_Days,"Breached",IF(X11&gt;=SLA_Days-5,"At Risk","Within SLA")))</f>
        <v>Within SLA</v>
      </c>
    </row>
    <row r="12" spans="1:28">
      <c r="A12" s="14" t="s">
        <v>149</v>
      </c>
      <c r="B12" s="24">
        <v>46223</v>
      </c>
      <c r="C12" s="24">
        <v>46215</v>
      </c>
      <c r="D12" s="14" t="s">
        <v>150</v>
      </c>
      <c r="E12" s="14" t="s">
        <v>151</v>
      </c>
      <c r="F12" s="24">
        <v>39048</v>
      </c>
      <c r="G12" s="14" t="s">
        <v>152</v>
      </c>
      <c r="H12" s="25" t="s">
        <v>75</v>
      </c>
      <c r="I12" s="25" t="s">
        <v>76</v>
      </c>
      <c r="J12" s="14" t="s">
        <v>112</v>
      </c>
      <c r="K12" s="26" t="s">
        <v>113</v>
      </c>
      <c r="L12" s="25" t="s">
        <v>97</v>
      </c>
      <c r="M12" s="25" t="s">
        <v>28</v>
      </c>
      <c r="N12" s="25" t="s">
        <v>153</v>
      </c>
      <c r="O12" s="26" t="s">
        <v>154</v>
      </c>
      <c r="P12" s="16">
        <v>156.91</v>
      </c>
      <c r="Q12" s="16">
        <v>117.68</v>
      </c>
      <c r="R12" s="16">
        <v>100.03</v>
      </c>
      <c r="S12" s="16">
        <f>IF(Q12="","",ROUND(Q12-R12,2))</f>
        <v>17.649999999999999</v>
      </c>
      <c r="T12" s="25" t="s">
        <v>19</v>
      </c>
      <c r="V12" s="14" t="s">
        <v>38</v>
      </c>
      <c r="W12" s="25" t="s">
        <v>82</v>
      </c>
      <c r="X12" s="27">
        <f ca="1">IF(A12="","",IF(Y12="",TODAY()-B12,Y12-B12))</f>
        <v>9</v>
      </c>
      <c r="Y12" s="24">
        <v>46232</v>
      </c>
      <c r="Z12" s="25" t="str">
        <f ca="1">IF(X12="","",IF(X12&gt;SLA_Days,"Breached",IF(X12&gt;=SLA_Days-5,"At Risk","Within SLA")))</f>
        <v>Within SLA</v>
      </c>
    </row>
    <row r="13" spans="1:28">
      <c r="A13" s="14" t="s">
        <v>155</v>
      </c>
      <c r="B13" s="24">
        <v>46223</v>
      </c>
      <c r="C13" s="24">
        <v>46208</v>
      </c>
      <c r="D13" s="14" t="s">
        <v>156</v>
      </c>
      <c r="E13" s="14" t="s">
        <v>157</v>
      </c>
      <c r="F13" s="24">
        <v>39636</v>
      </c>
      <c r="G13" s="14" t="s">
        <v>158</v>
      </c>
      <c r="H13" s="25" t="s">
        <v>104</v>
      </c>
      <c r="I13" s="25" t="s">
        <v>76</v>
      </c>
      <c r="J13" s="14" t="s">
        <v>112</v>
      </c>
      <c r="K13" s="26" t="s">
        <v>113</v>
      </c>
      <c r="L13" s="25" t="s">
        <v>97</v>
      </c>
      <c r="M13" s="25" t="s">
        <v>28</v>
      </c>
      <c r="N13" s="25" t="s">
        <v>130</v>
      </c>
      <c r="O13" s="26" t="s">
        <v>131</v>
      </c>
      <c r="P13" s="16">
        <v>243.44</v>
      </c>
      <c r="Q13" s="16">
        <v>182.58</v>
      </c>
      <c r="R13" s="16">
        <v>209.97</v>
      </c>
      <c r="S13" s="16">
        <f>IF(Q13="","",ROUND(Q13-R13,2))</f>
        <v>-27.39</v>
      </c>
      <c r="T13" s="25" t="s">
        <v>19</v>
      </c>
      <c r="V13" s="14" t="s">
        <v>38</v>
      </c>
      <c r="W13" s="25" t="s">
        <v>159</v>
      </c>
      <c r="X13" s="27">
        <f ca="1">IF(A13="","",IF(Y13="",TODAY()-B13,Y13-B13))</f>
        <v>24</v>
      </c>
      <c r="Y13" s="24">
        <v>46247</v>
      </c>
      <c r="Z13" s="25" t="str">
        <f ca="1">IF(X13="","",IF(X13&gt;SLA_Days,"Breached",IF(X13&gt;=SLA_Days-5,"At Risk","Within SLA")))</f>
        <v>Within SLA</v>
      </c>
    </row>
    <row r="14" spans="1:28">
      <c r="A14" s="14" t="s">
        <v>160</v>
      </c>
      <c r="B14" s="24">
        <v>46229</v>
      </c>
      <c r="C14" s="24">
        <v>46220</v>
      </c>
      <c r="D14" s="14" t="s">
        <v>161</v>
      </c>
      <c r="E14" s="14" t="s">
        <v>162</v>
      </c>
      <c r="F14" s="24">
        <v>21322</v>
      </c>
      <c r="G14" s="14" t="s">
        <v>163</v>
      </c>
      <c r="H14" s="25" t="s">
        <v>96</v>
      </c>
      <c r="I14" s="25" t="s">
        <v>76</v>
      </c>
      <c r="J14" s="14" t="s">
        <v>164</v>
      </c>
      <c r="K14" s="26" t="s">
        <v>165</v>
      </c>
      <c r="L14" s="25" t="s">
        <v>79</v>
      </c>
      <c r="M14" s="25" t="s">
        <v>25</v>
      </c>
      <c r="N14" s="25" t="s">
        <v>166</v>
      </c>
      <c r="O14" s="26" t="s">
        <v>167</v>
      </c>
      <c r="P14" s="16">
        <v>7910.19</v>
      </c>
      <c r="Q14" s="16">
        <v>0</v>
      </c>
      <c r="R14" s="16">
        <v>0</v>
      </c>
      <c r="S14" s="16">
        <f>IF(Q14="","",ROUND(Q14-R14,2))</f>
        <v>0</v>
      </c>
      <c r="T14" s="25" t="s">
        <v>20</v>
      </c>
      <c r="U14" s="14" t="s">
        <v>107</v>
      </c>
      <c r="V14" s="14" t="s">
        <v>38</v>
      </c>
      <c r="W14" s="25" t="s">
        <v>82</v>
      </c>
      <c r="X14" s="27">
        <f ca="1">IF(A14="","",IF(Y14="",TODAY()-B14,Y14-B14))</f>
        <v>20</v>
      </c>
      <c r="Y14" s="24">
        <v>46249</v>
      </c>
      <c r="Z14" s="25" t="str">
        <f ca="1">IF(X14="","",IF(X14&gt;SLA_Days,"Breached",IF(X14&gt;=SLA_Days-5,"At Risk","Within SLA")))</f>
        <v>Within SLA</v>
      </c>
    </row>
    <row r="15" spans="1:28">
      <c r="A15" s="14" t="s">
        <v>168</v>
      </c>
      <c r="B15" s="24">
        <v>46230</v>
      </c>
      <c r="C15" s="24">
        <v>46219</v>
      </c>
      <c r="D15" s="14" t="s">
        <v>169</v>
      </c>
      <c r="E15" s="14" t="s">
        <v>170</v>
      </c>
      <c r="F15" s="24">
        <v>25860</v>
      </c>
      <c r="G15" s="14" t="s">
        <v>171</v>
      </c>
      <c r="H15" s="25" t="s">
        <v>87</v>
      </c>
      <c r="I15" s="25" t="s">
        <v>76</v>
      </c>
      <c r="J15" s="14" t="s">
        <v>164</v>
      </c>
      <c r="K15" s="26" t="s">
        <v>165</v>
      </c>
      <c r="L15" s="25" t="s">
        <v>97</v>
      </c>
      <c r="M15" s="25" t="s">
        <v>25</v>
      </c>
      <c r="N15" s="25" t="s">
        <v>144</v>
      </c>
      <c r="O15" s="26" t="s">
        <v>81</v>
      </c>
      <c r="P15" s="16">
        <v>221.53</v>
      </c>
      <c r="Q15" s="16">
        <v>0</v>
      </c>
      <c r="R15" s="16">
        <v>0</v>
      </c>
      <c r="S15" s="16">
        <f>IF(Q15="","",ROUND(Q15-R15,2))</f>
        <v>0</v>
      </c>
      <c r="T15" s="25" t="s">
        <v>20</v>
      </c>
      <c r="U15" s="14" t="s">
        <v>172</v>
      </c>
      <c r="V15" s="14" t="s">
        <v>40</v>
      </c>
      <c r="W15" s="25" t="s">
        <v>82</v>
      </c>
      <c r="X15" s="27">
        <f ca="1">IF(A15="","",IF(Y15="",TODAY()-B15,Y15-B15))</f>
        <v>19</v>
      </c>
      <c r="Y15" s="24">
        <v>46249</v>
      </c>
      <c r="Z15" s="25" t="str">
        <f ca="1">IF(X15="","",IF(X15&gt;SLA_Days,"Breached",IF(X15&gt;=SLA_Days-5,"At Risk","Within SLA")))</f>
        <v>Within SLA</v>
      </c>
    </row>
    <row r="16" spans="1:28">
      <c r="A16" s="14" t="s">
        <v>173</v>
      </c>
      <c r="B16" s="24">
        <v>46231</v>
      </c>
      <c r="C16" s="24">
        <v>46223</v>
      </c>
      <c r="D16" s="14" t="s">
        <v>174</v>
      </c>
      <c r="E16" s="14" t="s">
        <v>175</v>
      </c>
      <c r="F16" s="24">
        <v>43792</v>
      </c>
      <c r="G16" s="14" t="s">
        <v>176</v>
      </c>
      <c r="H16" s="25" t="s">
        <v>96</v>
      </c>
      <c r="I16" s="25" t="s">
        <v>76</v>
      </c>
      <c r="J16" s="14" t="s">
        <v>112</v>
      </c>
      <c r="K16" s="26" t="s">
        <v>113</v>
      </c>
      <c r="L16" s="25" t="s">
        <v>97</v>
      </c>
      <c r="M16" s="25" t="s">
        <v>28</v>
      </c>
      <c r="N16" s="25" t="s">
        <v>153</v>
      </c>
      <c r="O16" s="26" t="s">
        <v>154</v>
      </c>
      <c r="P16" s="16">
        <v>177.81</v>
      </c>
      <c r="Q16" s="16">
        <v>133.36000000000001</v>
      </c>
      <c r="R16" s="16">
        <v>120.02</v>
      </c>
      <c r="S16" s="16">
        <f>IF(Q16="","",ROUND(Q16-R16,2))</f>
        <v>13.34</v>
      </c>
      <c r="T16" s="25" t="s">
        <v>18</v>
      </c>
      <c r="V16" s="14" t="s">
        <v>38</v>
      </c>
      <c r="W16" s="25" t="s">
        <v>159</v>
      </c>
      <c r="X16" s="27">
        <f ca="1">IF(A16="","",IF(Y16="",TODAY()-B16,Y16-B16))</f>
        <v>5</v>
      </c>
      <c r="Y16" s="24">
        <v>46236</v>
      </c>
      <c r="Z16" s="25" t="str">
        <f ca="1">IF(X16="","",IF(X16&gt;SLA_Days,"Breached",IF(X16&gt;=SLA_Days-5,"At Risk","Within SLA")))</f>
        <v>Within SLA</v>
      </c>
    </row>
    <row r="17" spans="1:26">
      <c r="A17" s="14" t="s">
        <v>177</v>
      </c>
      <c r="B17" s="24">
        <v>46232</v>
      </c>
      <c r="C17" s="24">
        <v>46225</v>
      </c>
      <c r="D17" s="14" t="s">
        <v>178</v>
      </c>
      <c r="E17" s="14" t="s">
        <v>179</v>
      </c>
      <c r="F17" s="24">
        <v>29657</v>
      </c>
      <c r="G17" s="14" t="s">
        <v>180</v>
      </c>
      <c r="H17" s="25" t="s">
        <v>75</v>
      </c>
      <c r="I17" s="25" t="s">
        <v>76</v>
      </c>
      <c r="J17" s="14" t="s">
        <v>121</v>
      </c>
      <c r="K17" s="26" t="s">
        <v>122</v>
      </c>
      <c r="L17" s="25" t="s">
        <v>97</v>
      </c>
      <c r="M17" s="25" t="s">
        <v>24</v>
      </c>
      <c r="N17" s="25" t="s">
        <v>123</v>
      </c>
      <c r="O17" s="26" t="s">
        <v>124</v>
      </c>
      <c r="P17" s="16">
        <v>26696.400000000001</v>
      </c>
      <c r="Q17" s="16">
        <v>14683.02</v>
      </c>
      <c r="R17" s="16">
        <v>12480.57</v>
      </c>
      <c r="S17" s="16">
        <f>IF(Q17="","",ROUND(Q17-R17,2))</f>
        <v>2202.4499999999998</v>
      </c>
      <c r="T17" s="25" t="s">
        <v>18</v>
      </c>
      <c r="V17" s="14" t="s">
        <v>40</v>
      </c>
      <c r="W17" s="25" t="s">
        <v>125</v>
      </c>
      <c r="X17" s="27">
        <f ca="1">IF(A17="","",IF(Y17="",TODAY()-B17,Y17-B17))</f>
        <v>29</v>
      </c>
      <c r="Y17" s="24">
        <v>46261</v>
      </c>
      <c r="Z17" s="25" t="str">
        <f ca="1">IF(X17="","",IF(X17&gt;SLA_Days,"Breached",IF(X17&gt;=SLA_Days-5,"At Risk","Within SLA")))</f>
        <v>At Risk</v>
      </c>
    </row>
    <row r="18" spans="1:26">
      <c r="A18" s="14" t="s">
        <v>181</v>
      </c>
      <c r="B18" s="24">
        <v>46233</v>
      </c>
      <c r="C18" s="24">
        <v>46230</v>
      </c>
      <c r="D18" s="14" t="s">
        <v>182</v>
      </c>
      <c r="E18" s="14" t="s">
        <v>183</v>
      </c>
      <c r="F18" s="24">
        <v>40326</v>
      </c>
      <c r="G18" s="14" t="s">
        <v>184</v>
      </c>
      <c r="H18" s="25" t="s">
        <v>104</v>
      </c>
      <c r="I18" s="25" t="s">
        <v>76</v>
      </c>
      <c r="J18" s="14" t="s">
        <v>88</v>
      </c>
      <c r="K18" s="26" t="s">
        <v>89</v>
      </c>
      <c r="L18" s="25" t="s">
        <v>97</v>
      </c>
      <c r="M18" s="25" t="s">
        <v>27</v>
      </c>
      <c r="N18" s="25" t="s">
        <v>90</v>
      </c>
      <c r="O18" s="26" t="s">
        <v>91</v>
      </c>
      <c r="P18" s="16">
        <v>4107.8</v>
      </c>
      <c r="Q18" s="16">
        <v>3491.63</v>
      </c>
      <c r="R18" s="16">
        <v>2444.14</v>
      </c>
      <c r="S18" s="16">
        <f>IF(Q18="","",ROUND(Q18-R18,2))</f>
        <v>1047.49</v>
      </c>
      <c r="T18" s="25" t="s">
        <v>18</v>
      </c>
      <c r="V18" s="14" t="s">
        <v>40</v>
      </c>
      <c r="W18" s="25" t="s">
        <v>82</v>
      </c>
      <c r="X18" s="27">
        <f ca="1">IF(A18="","",IF(Y18="",TODAY()-B18,Y18-B18))</f>
        <v>18</v>
      </c>
      <c r="Y18" s="24">
        <v>46251</v>
      </c>
      <c r="Z18" s="25" t="str">
        <f ca="1">IF(X18="","",IF(X18&gt;SLA_Days,"Breached",IF(X18&gt;=SLA_Days-5,"At Risk","Within SLA")))</f>
        <v>Within SLA</v>
      </c>
    </row>
    <row r="19" spans="1:26">
      <c r="A19" s="14" t="s">
        <v>185</v>
      </c>
      <c r="B19" s="24">
        <v>46238</v>
      </c>
      <c r="C19" s="24">
        <v>46224</v>
      </c>
      <c r="D19" s="14" t="s">
        <v>186</v>
      </c>
      <c r="E19" s="14" t="s">
        <v>187</v>
      </c>
      <c r="F19" s="24">
        <v>20335</v>
      </c>
      <c r="G19" s="14" t="s">
        <v>188</v>
      </c>
      <c r="H19" s="25" t="s">
        <v>87</v>
      </c>
      <c r="I19" s="25" t="s">
        <v>76</v>
      </c>
      <c r="J19" s="14" t="s">
        <v>136</v>
      </c>
      <c r="K19" s="26" t="s">
        <v>137</v>
      </c>
      <c r="L19" s="25" t="s">
        <v>97</v>
      </c>
      <c r="M19" s="25" t="s">
        <v>26</v>
      </c>
      <c r="N19" s="25" t="s">
        <v>189</v>
      </c>
      <c r="O19" s="26" t="s">
        <v>190</v>
      </c>
      <c r="P19" s="16">
        <v>151.99</v>
      </c>
      <c r="Q19" s="16">
        <v>106.39</v>
      </c>
      <c r="R19" s="16">
        <v>85.11</v>
      </c>
      <c r="S19" s="16">
        <f>IF(Q19="","",ROUND(Q19-R19,2))</f>
        <v>21.28</v>
      </c>
      <c r="T19" s="25" t="s">
        <v>18</v>
      </c>
      <c r="V19" s="14" t="s">
        <v>39</v>
      </c>
      <c r="W19" s="25" t="s">
        <v>82</v>
      </c>
      <c r="X19" s="27">
        <f ca="1">IF(A19="","",IF(Y19="",TODAY()-B19,Y19-B19))</f>
        <v>5</v>
      </c>
      <c r="Y19" s="24">
        <v>46243</v>
      </c>
      <c r="Z19" s="25" t="str">
        <f ca="1">IF(X19="","",IF(X19&gt;SLA_Days,"Breached",IF(X19&gt;=SLA_Days-5,"At Risk","Within SLA")))</f>
        <v>Within SLA</v>
      </c>
    </row>
    <row r="20" spans="1:26">
      <c r="A20" s="14" t="s">
        <v>191</v>
      </c>
      <c r="B20" s="24">
        <v>46241</v>
      </c>
      <c r="C20" s="24">
        <v>46227</v>
      </c>
      <c r="D20" s="14" t="s">
        <v>192</v>
      </c>
      <c r="E20" s="14" t="s">
        <v>193</v>
      </c>
      <c r="F20" s="24">
        <v>21646</v>
      </c>
      <c r="G20" s="14" t="s">
        <v>194</v>
      </c>
      <c r="H20" s="25" t="s">
        <v>104</v>
      </c>
      <c r="I20" s="25" t="s">
        <v>76</v>
      </c>
      <c r="J20" s="14" t="s">
        <v>195</v>
      </c>
      <c r="K20" s="26" t="s">
        <v>196</v>
      </c>
      <c r="L20" s="25" t="s">
        <v>97</v>
      </c>
      <c r="M20" s="25" t="s">
        <v>25</v>
      </c>
      <c r="N20" s="25" t="s">
        <v>197</v>
      </c>
      <c r="O20" s="26" t="s">
        <v>198</v>
      </c>
      <c r="P20" s="16">
        <v>2482.9299999999998</v>
      </c>
      <c r="Q20" s="16">
        <v>1613.9</v>
      </c>
      <c r="R20" s="16">
        <v>1129.73</v>
      </c>
      <c r="S20" s="16">
        <f>IF(Q20="","",ROUND(Q20-R20,2))</f>
        <v>484.17</v>
      </c>
      <c r="T20" s="25" t="s">
        <v>19</v>
      </c>
      <c r="V20" s="14" t="s">
        <v>38</v>
      </c>
      <c r="W20" s="25" t="s">
        <v>82</v>
      </c>
      <c r="X20" s="27">
        <f ca="1">IF(A20="","",IF(Y20="",TODAY()-B20,Y20-B20))</f>
        <v>20</v>
      </c>
      <c r="Y20" s="24">
        <v>46261</v>
      </c>
      <c r="Z20" s="25" t="str">
        <f ca="1">IF(X20="","",IF(X20&gt;SLA_Days,"Breached",IF(X20&gt;=SLA_Days-5,"At Risk","Within SLA")))</f>
        <v>Within SLA</v>
      </c>
    </row>
    <row r="21" spans="1:26">
      <c r="A21" s="14" t="s">
        <v>199</v>
      </c>
      <c r="B21" s="24">
        <v>46244</v>
      </c>
      <c r="C21" s="24">
        <v>46230</v>
      </c>
      <c r="D21" s="14" t="s">
        <v>169</v>
      </c>
      <c r="E21" s="14" t="s">
        <v>170</v>
      </c>
      <c r="F21" s="24">
        <v>25860</v>
      </c>
      <c r="G21" s="14" t="s">
        <v>171</v>
      </c>
      <c r="H21" s="25" t="s">
        <v>87</v>
      </c>
      <c r="I21" s="25" t="s">
        <v>76</v>
      </c>
      <c r="J21" s="14" t="s">
        <v>136</v>
      </c>
      <c r="K21" s="26" t="s">
        <v>137</v>
      </c>
      <c r="L21" s="25" t="s">
        <v>97</v>
      </c>
      <c r="M21" s="25" t="s">
        <v>26</v>
      </c>
      <c r="N21" s="25" t="s">
        <v>80</v>
      </c>
      <c r="O21" s="26" t="s">
        <v>81</v>
      </c>
      <c r="P21" s="16">
        <v>246.78</v>
      </c>
      <c r="S21" s="16" t="str">
        <f>IF(Q21="","",ROUND(Q21-R21,2))</f>
        <v/>
      </c>
      <c r="T21" s="25" t="s">
        <v>16</v>
      </c>
      <c r="V21" s="14" t="s">
        <v>40</v>
      </c>
      <c r="W21" s="25" t="s">
        <v>82</v>
      </c>
      <c r="X21" s="27">
        <f ca="1">IF(A21="","",IF(Y21="",TODAY()-B21,Y21-B21))</f>
        <v>60</v>
      </c>
      <c r="Z21" s="25" t="str">
        <f ca="1">IF(X21="","",IF(X21&gt;SLA_Days,"Breached",IF(X21&gt;=SLA_Days-5,"At Risk","Within SLA")))</f>
        <v>Breached</v>
      </c>
    </row>
    <row r="22" spans="1:26">
      <c r="A22" s="14" t="s">
        <v>200</v>
      </c>
      <c r="B22" s="24">
        <v>46245</v>
      </c>
      <c r="C22" s="24">
        <v>46235</v>
      </c>
      <c r="D22" s="14" t="s">
        <v>201</v>
      </c>
      <c r="E22" s="14" t="s">
        <v>202</v>
      </c>
      <c r="F22" s="24">
        <v>26407</v>
      </c>
      <c r="G22" s="14" t="s">
        <v>203</v>
      </c>
      <c r="H22" s="25" t="s">
        <v>104</v>
      </c>
      <c r="I22" s="25" t="s">
        <v>76</v>
      </c>
      <c r="J22" s="14" t="s">
        <v>88</v>
      </c>
      <c r="K22" s="26" t="s">
        <v>89</v>
      </c>
      <c r="L22" s="25" t="s">
        <v>97</v>
      </c>
      <c r="M22" s="25" t="s">
        <v>27</v>
      </c>
      <c r="N22" s="25" t="s">
        <v>80</v>
      </c>
      <c r="O22" s="26" t="s">
        <v>204</v>
      </c>
      <c r="P22" s="16">
        <v>620.57000000000005</v>
      </c>
      <c r="Q22" s="16">
        <v>527.48</v>
      </c>
      <c r="R22" s="16">
        <v>369.24</v>
      </c>
      <c r="S22" s="16">
        <f>IF(Q22="","",ROUND(Q22-R22,2))</f>
        <v>158.24</v>
      </c>
      <c r="T22" s="25" t="s">
        <v>19</v>
      </c>
      <c r="V22" s="14" t="s">
        <v>38</v>
      </c>
      <c r="W22" s="25" t="s">
        <v>82</v>
      </c>
      <c r="X22" s="27">
        <f ca="1">IF(A22="","",IF(Y22="",TODAY()-B22,Y22-B22))</f>
        <v>31</v>
      </c>
      <c r="Y22" s="24">
        <v>46276</v>
      </c>
      <c r="Z22" s="25" t="str">
        <f ca="1">IF(X22="","",IF(X22&gt;SLA_Days,"Breached",IF(X22&gt;=SLA_Days-5,"At Risk","Within SLA")))</f>
        <v>Breached</v>
      </c>
    </row>
    <row r="23" spans="1:26">
      <c r="A23" s="14" t="s">
        <v>205</v>
      </c>
      <c r="B23" s="24">
        <v>46246</v>
      </c>
      <c r="C23" s="24">
        <v>46242</v>
      </c>
      <c r="D23" s="14" t="s">
        <v>161</v>
      </c>
      <c r="E23" s="14" t="s">
        <v>162</v>
      </c>
      <c r="F23" s="24">
        <v>21322</v>
      </c>
      <c r="G23" s="14" t="s">
        <v>163</v>
      </c>
      <c r="H23" s="25" t="s">
        <v>96</v>
      </c>
      <c r="I23" s="25" t="s">
        <v>76</v>
      </c>
      <c r="J23" s="14" t="s">
        <v>164</v>
      </c>
      <c r="K23" s="26" t="s">
        <v>165</v>
      </c>
      <c r="L23" s="25" t="s">
        <v>97</v>
      </c>
      <c r="M23" s="25" t="s">
        <v>25</v>
      </c>
      <c r="N23" s="25" t="s">
        <v>206</v>
      </c>
      <c r="O23" s="26" t="s">
        <v>207</v>
      </c>
      <c r="P23" s="16">
        <v>313.20999999999998</v>
      </c>
      <c r="S23" s="16" t="str">
        <f>IF(Q23="","",ROUND(Q23-R23,2))</f>
        <v/>
      </c>
      <c r="T23" s="25" t="s">
        <v>16</v>
      </c>
      <c r="V23" s="14" t="s">
        <v>39</v>
      </c>
      <c r="W23" s="25" t="s">
        <v>82</v>
      </c>
      <c r="X23" s="27">
        <f ca="1">IF(A23="","",IF(Y23="",TODAY()-B23,Y23-B23))</f>
        <v>58</v>
      </c>
      <c r="Z23" s="25" t="str">
        <f ca="1">IF(X23="","",IF(X23&gt;SLA_Days,"Breached",IF(X23&gt;=SLA_Days-5,"At Risk","Within SLA")))</f>
        <v>Breached</v>
      </c>
    </row>
    <row r="24" spans="1:26">
      <c r="A24" s="14" t="s">
        <v>208</v>
      </c>
      <c r="B24" s="24">
        <v>46246</v>
      </c>
      <c r="C24" s="24">
        <v>46225</v>
      </c>
      <c r="D24" s="14" t="s">
        <v>109</v>
      </c>
      <c r="E24" s="14" t="s">
        <v>110</v>
      </c>
      <c r="F24" s="24">
        <v>28981</v>
      </c>
      <c r="G24" s="14" t="s">
        <v>111</v>
      </c>
      <c r="H24" s="25" t="s">
        <v>87</v>
      </c>
      <c r="I24" s="25" t="s">
        <v>76</v>
      </c>
      <c r="J24" s="14" t="s">
        <v>112</v>
      </c>
      <c r="K24" s="26" t="s">
        <v>113</v>
      </c>
      <c r="L24" s="25" t="s">
        <v>97</v>
      </c>
      <c r="M24" s="25" t="s">
        <v>28</v>
      </c>
      <c r="N24" s="25" t="s">
        <v>114</v>
      </c>
      <c r="O24" s="26" t="s">
        <v>115</v>
      </c>
      <c r="P24" s="16">
        <v>114.89</v>
      </c>
      <c r="S24" s="16" t="str">
        <f>IF(Q24="","",ROUND(Q24-R24,2))</f>
        <v/>
      </c>
      <c r="T24" s="25" t="s">
        <v>16</v>
      </c>
      <c r="V24" s="14" t="s">
        <v>40</v>
      </c>
      <c r="W24" s="25" t="s">
        <v>82</v>
      </c>
      <c r="X24" s="27">
        <f ca="1">IF(A24="","",IF(Y24="",TODAY()-B24,Y24-B24))</f>
        <v>58</v>
      </c>
      <c r="Z24" s="25" t="str">
        <f ca="1">IF(X24="","",IF(X24&gt;SLA_Days,"Breached",IF(X24&gt;=SLA_Days-5,"At Risk","Within SLA")))</f>
        <v>Breached</v>
      </c>
    </row>
    <row r="25" spans="1:26">
      <c r="A25" s="14" t="s">
        <v>209</v>
      </c>
      <c r="B25" s="24">
        <v>46248</v>
      </c>
      <c r="C25" s="24">
        <v>46233</v>
      </c>
      <c r="D25" s="14" t="s">
        <v>210</v>
      </c>
      <c r="E25" s="14" t="s">
        <v>211</v>
      </c>
      <c r="F25" s="24">
        <v>27991</v>
      </c>
      <c r="G25" s="14" t="s">
        <v>212</v>
      </c>
      <c r="H25" s="25" t="s">
        <v>87</v>
      </c>
      <c r="I25" s="25" t="s">
        <v>76</v>
      </c>
      <c r="J25" s="14" t="s">
        <v>136</v>
      </c>
      <c r="K25" s="26" t="s">
        <v>137</v>
      </c>
      <c r="L25" s="25" t="s">
        <v>97</v>
      </c>
      <c r="M25" s="25" t="s">
        <v>26</v>
      </c>
      <c r="N25" s="25" t="s">
        <v>213</v>
      </c>
      <c r="O25" s="26" t="s">
        <v>214</v>
      </c>
      <c r="P25" s="16">
        <v>1105.19</v>
      </c>
      <c r="Q25" s="16">
        <v>773.63</v>
      </c>
      <c r="R25" s="16">
        <v>618.9</v>
      </c>
      <c r="S25" s="16">
        <f>IF(Q25="","",ROUND(Q25-R25,2))</f>
        <v>154.72999999999999</v>
      </c>
      <c r="T25" s="25" t="s">
        <v>19</v>
      </c>
      <c r="V25" s="14" t="s">
        <v>40</v>
      </c>
      <c r="W25" s="25" t="s">
        <v>159</v>
      </c>
      <c r="X25" s="27">
        <f ca="1">IF(A25="","",IF(Y25="",TODAY()-B25,Y25-B25))</f>
        <v>16</v>
      </c>
      <c r="Y25" s="24">
        <v>46264</v>
      </c>
      <c r="Z25" s="25" t="str">
        <f ca="1">IF(X25="","",IF(X25&gt;SLA_Days,"Breached",IF(X25&gt;=SLA_Days-5,"At Risk","Within SLA")))</f>
        <v>Within SLA</v>
      </c>
    </row>
    <row r="26" spans="1:26">
      <c r="A26" s="14" t="s">
        <v>215</v>
      </c>
      <c r="B26" s="24">
        <v>46248</v>
      </c>
      <c r="C26" s="24">
        <v>46233</v>
      </c>
      <c r="D26" s="14" t="s">
        <v>216</v>
      </c>
      <c r="E26" s="14" t="s">
        <v>217</v>
      </c>
      <c r="F26" s="24">
        <v>41489</v>
      </c>
      <c r="G26" s="14" t="s">
        <v>218</v>
      </c>
      <c r="H26" s="25" t="s">
        <v>96</v>
      </c>
      <c r="I26" s="25" t="s">
        <v>76</v>
      </c>
      <c r="J26" s="14" t="s">
        <v>77</v>
      </c>
      <c r="K26" s="26" t="s">
        <v>78</v>
      </c>
      <c r="L26" s="25" t="s">
        <v>97</v>
      </c>
      <c r="M26" s="25" t="s">
        <v>26</v>
      </c>
      <c r="N26" s="25" t="s">
        <v>189</v>
      </c>
      <c r="O26" s="26" t="s">
        <v>190</v>
      </c>
      <c r="P26" s="16">
        <v>199.64</v>
      </c>
      <c r="Q26" s="16">
        <v>139.75</v>
      </c>
      <c r="R26" s="16">
        <v>125.78</v>
      </c>
      <c r="S26" s="16">
        <f>IF(Q26="","",ROUND(Q26-R26,2))</f>
        <v>13.97</v>
      </c>
      <c r="T26" s="25" t="s">
        <v>19</v>
      </c>
      <c r="V26" s="14" t="s">
        <v>41</v>
      </c>
      <c r="W26" s="25" t="s">
        <v>82</v>
      </c>
      <c r="X26" s="27">
        <f ca="1">IF(A26="","",IF(Y26="",TODAY()-B26,Y26-B26))</f>
        <v>21</v>
      </c>
      <c r="Y26" s="24">
        <v>46269</v>
      </c>
      <c r="Z26" s="25" t="str">
        <f ca="1">IF(X26="","",IF(X26&gt;SLA_Days,"Breached",IF(X26&gt;=SLA_Days-5,"At Risk","Within SLA")))</f>
        <v>Within SLA</v>
      </c>
    </row>
    <row r="27" spans="1:26">
      <c r="A27" s="14" t="s">
        <v>219</v>
      </c>
      <c r="B27" s="24">
        <v>46248</v>
      </c>
      <c r="C27" s="24">
        <v>46233</v>
      </c>
      <c r="D27" s="14" t="s">
        <v>220</v>
      </c>
      <c r="E27" s="14" t="s">
        <v>221</v>
      </c>
      <c r="F27" s="24">
        <v>43242</v>
      </c>
      <c r="G27" s="14" t="s">
        <v>222</v>
      </c>
      <c r="H27" s="25" t="s">
        <v>75</v>
      </c>
      <c r="I27" s="25" t="s">
        <v>76</v>
      </c>
      <c r="J27" s="14" t="s">
        <v>88</v>
      </c>
      <c r="K27" s="26" t="s">
        <v>89</v>
      </c>
      <c r="L27" s="25" t="s">
        <v>97</v>
      </c>
      <c r="M27" s="25" t="s">
        <v>27</v>
      </c>
      <c r="N27" s="25" t="s">
        <v>105</v>
      </c>
      <c r="O27" s="26" t="s">
        <v>106</v>
      </c>
      <c r="P27" s="16">
        <v>7027.25</v>
      </c>
      <c r="S27" s="16" t="str">
        <f>IF(Q27="","",ROUND(Q27-R27,2))</f>
        <v/>
      </c>
      <c r="T27" s="25" t="s">
        <v>16</v>
      </c>
      <c r="V27" s="14" t="s">
        <v>39</v>
      </c>
      <c r="W27" s="25" t="s">
        <v>82</v>
      </c>
      <c r="X27" s="27">
        <f ca="1">IF(A27="","",IF(Y27="",TODAY()-B27,Y27-B27))</f>
        <v>56</v>
      </c>
      <c r="Z27" s="25" t="str">
        <f ca="1">IF(X27="","",IF(X27&gt;SLA_Days,"Breached",IF(X27&gt;=SLA_Days-5,"At Risk","Within SLA")))</f>
        <v>Breached</v>
      </c>
    </row>
    <row r="28" spans="1:26">
      <c r="A28" s="14" t="s">
        <v>223</v>
      </c>
      <c r="B28" s="24">
        <v>46249</v>
      </c>
      <c r="C28" s="24">
        <v>46240</v>
      </c>
      <c r="D28" s="14" t="s">
        <v>224</v>
      </c>
      <c r="E28" s="14" t="s">
        <v>225</v>
      </c>
      <c r="F28" s="24">
        <v>29163</v>
      </c>
      <c r="G28" s="14" t="s">
        <v>226</v>
      </c>
      <c r="H28" s="25" t="s">
        <v>104</v>
      </c>
      <c r="I28" s="25" t="s">
        <v>76</v>
      </c>
      <c r="J28" s="14" t="s">
        <v>112</v>
      </c>
      <c r="K28" s="26" t="s">
        <v>113</v>
      </c>
      <c r="L28" s="25" t="s">
        <v>97</v>
      </c>
      <c r="M28" s="25" t="s">
        <v>28</v>
      </c>
      <c r="N28" s="25" t="s">
        <v>130</v>
      </c>
      <c r="O28" s="26" t="s">
        <v>131</v>
      </c>
      <c r="P28" s="16">
        <v>302.39999999999998</v>
      </c>
      <c r="Q28" s="16">
        <v>0</v>
      </c>
      <c r="R28" s="16">
        <v>0</v>
      </c>
      <c r="S28" s="16">
        <f>IF(Q28="","",ROUND(Q28-R28,2))</f>
        <v>0</v>
      </c>
      <c r="T28" s="25" t="s">
        <v>20</v>
      </c>
      <c r="U28" s="14" t="s">
        <v>172</v>
      </c>
      <c r="V28" s="14" t="s">
        <v>39</v>
      </c>
      <c r="W28" s="25" t="s">
        <v>159</v>
      </c>
      <c r="X28" s="27">
        <f ca="1">IF(A28="","",IF(Y28="",TODAY()-B28,Y28-B28))</f>
        <v>5</v>
      </c>
      <c r="Y28" s="24">
        <v>46254</v>
      </c>
      <c r="Z28" s="25" t="str">
        <f ca="1">IF(X28="","",IF(X28&gt;SLA_Days,"Breached",IF(X28&gt;=SLA_Days-5,"At Risk","Within SLA")))</f>
        <v>Within SLA</v>
      </c>
    </row>
    <row r="29" spans="1:26">
      <c r="A29" s="14" t="s">
        <v>227</v>
      </c>
      <c r="B29" s="24">
        <v>46250</v>
      </c>
      <c r="C29" s="24">
        <v>46240</v>
      </c>
      <c r="D29" s="14" t="s">
        <v>228</v>
      </c>
      <c r="E29" s="14" t="s">
        <v>229</v>
      </c>
      <c r="F29" s="24">
        <v>27714</v>
      </c>
      <c r="G29" s="14" t="s">
        <v>230</v>
      </c>
      <c r="H29" s="25" t="s">
        <v>104</v>
      </c>
      <c r="I29" s="25" t="s">
        <v>76</v>
      </c>
      <c r="J29" s="14" t="s">
        <v>136</v>
      </c>
      <c r="K29" s="26" t="s">
        <v>137</v>
      </c>
      <c r="L29" s="25" t="s">
        <v>97</v>
      </c>
      <c r="M29" s="25" t="s">
        <v>26</v>
      </c>
      <c r="N29" s="25" t="s">
        <v>98</v>
      </c>
      <c r="O29" s="26" t="s">
        <v>99</v>
      </c>
      <c r="P29" s="16">
        <v>230.94</v>
      </c>
      <c r="Q29" s="16">
        <v>161.66</v>
      </c>
      <c r="R29" s="16">
        <v>113.16</v>
      </c>
      <c r="S29" s="16">
        <f>IF(Q29="","",ROUND(Q29-R29,2))</f>
        <v>48.5</v>
      </c>
      <c r="T29" s="25" t="s">
        <v>19</v>
      </c>
      <c r="V29" s="14" t="s">
        <v>40</v>
      </c>
      <c r="W29" s="25" t="s">
        <v>82</v>
      </c>
      <c r="X29" s="27">
        <f ca="1">IF(A29="","",IF(Y29="",TODAY()-B29,Y29-B29))</f>
        <v>17</v>
      </c>
      <c r="Y29" s="24">
        <v>46267</v>
      </c>
      <c r="Z29" s="25" t="str">
        <f ca="1">IF(X29="","",IF(X29&gt;SLA_Days,"Breached",IF(X29&gt;=SLA_Days-5,"At Risk","Within SLA")))</f>
        <v>Within SLA</v>
      </c>
    </row>
    <row r="30" spans="1:26">
      <c r="A30" s="14" t="s">
        <v>231</v>
      </c>
      <c r="B30" s="24">
        <v>46251</v>
      </c>
      <c r="C30" s="24">
        <v>46236</v>
      </c>
      <c r="D30" s="14" t="s">
        <v>133</v>
      </c>
      <c r="E30" s="14" t="s">
        <v>134</v>
      </c>
      <c r="F30" s="24">
        <v>29698</v>
      </c>
      <c r="G30" s="14" t="s">
        <v>135</v>
      </c>
      <c r="H30" s="25" t="s">
        <v>75</v>
      </c>
      <c r="I30" s="25" t="s">
        <v>76</v>
      </c>
      <c r="J30" s="14" t="s">
        <v>121</v>
      </c>
      <c r="K30" s="26" t="s">
        <v>122</v>
      </c>
      <c r="L30" s="25" t="s">
        <v>97</v>
      </c>
      <c r="M30" s="25" t="s">
        <v>24</v>
      </c>
      <c r="N30" s="25" t="s">
        <v>232</v>
      </c>
      <c r="O30" s="26" t="s">
        <v>233</v>
      </c>
      <c r="P30" s="16">
        <v>18684.919999999998</v>
      </c>
      <c r="S30" s="16" t="str">
        <f>IF(Q30="","",ROUND(Q30-R30,2))</f>
        <v/>
      </c>
      <c r="T30" s="25" t="s">
        <v>16</v>
      </c>
      <c r="V30" s="14" t="s">
        <v>41</v>
      </c>
      <c r="W30" s="25" t="s">
        <v>82</v>
      </c>
      <c r="X30" s="27">
        <f ca="1">IF(A30="","",IF(Y30="",TODAY()-B30,Y30-B30))</f>
        <v>53</v>
      </c>
      <c r="Z30" s="25" t="str">
        <f ca="1">IF(X30="","",IF(X30&gt;SLA_Days,"Breached",IF(X30&gt;=SLA_Days-5,"At Risk","Within SLA")))</f>
        <v>Breached</v>
      </c>
    </row>
    <row r="31" spans="1:26">
      <c r="A31" s="14" t="s">
        <v>234</v>
      </c>
      <c r="B31" s="24">
        <v>46253</v>
      </c>
      <c r="C31" s="24">
        <v>46242</v>
      </c>
      <c r="D31" s="14" t="s">
        <v>235</v>
      </c>
      <c r="E31" s="14" t="s">
        <v>236</v>
      </c>
      <c r="F31" s="24">
        <v>34518</v>
      </c>
      <c r="G31" s="14" t="s">
        <v>237</v>
      </c>
      <c r="H31" s="25" t="s">
        <v>75</v>
      </c>
      <c r="I31" s="25" t="s">
        <v>76</v>
      </c>
      <c r="J31" s="14" t="s">
        <v>136</v>
      </c>
      <c r="K31" s="26" t="s">
        <v>137</v>
      </c>
      <c r="L31" s="25" t="s">
        <v>97</v>
      </c>
      <c r="M31" s="25" t="s">
        <v>26</v>
      </c>
      <c r="N31" s="25" t="s">
        <v>189</v>
      </c>
      <c r="O31" s="26" t="s">
        <v>190</v>
      </c>
      <c r="P31" s="16">
        <v>190.71</v>
      </c>
      <c r="Q31" s="16">
        <v>0</v>
      </c>
      <c r="R31" s="16">
        <v>0</v>
      </c>
      <c r="S31" s="16">
        <f>IF(Q31="","",ROUND(Q31-R31,2))</f>
        <v>0</v>
      </c>
      <c r="T31" s="25" t="s">
        <v>20</v>
      </c>
      <c r="U31" s="14" t="s">
        <v>172</v>
      </c>
      <c r="V31" s="14" t="s">
        <v>40</v>
      </c>
      <c r="W31" s="25" t="s">
        <v>82</v>
      </c>
      <c r="X31" s="27">
        <f ca="1">IF(A31="","",IF(Y31="",TODAY()-B31,Y31-B31))</f>
        <v>27</v>
      </c>
      <c r="Y31" s="24">
        <v>46280</v>
      </c>
      <c r="Z31" s="25" t="str">
        <f ca="1">IF(X31="","",IF(X31&gt;SLA_Days,"Breached",IF(X31&gt;=SLA_Days-5,"At Risk","Within SLA")))</f>
        <v>At Risk</v>
      </c>
    </row>
    <row r="32" spans="1:26">
      <c r="A32" s="14" t="s">
        <v>238</v>
      </c>
      <c r="B32" s="24">
        <v>46253</v>
      </c>
      <c r="C32" s="24">
        <v>46247</v>
      </c>
      <c r="D32" s="14" t="s">
        <v>146</v>
      </c>
      <c r="E32" s="14" t="s">
        <v>147</v>
      </c>
      <c r="F32" s="24">
        <v>38964</v>
      </c>
      <c r="G32" s="14" t="s">
        <v>148</v>
      </c>
      <c r="H32" s="25" t="s">
        <v>75</v>
      </c>
      <c r="I32" s="25" t="s">
        <v>76</v>
      </c>
      <c r="J32" s="14" t="s">
        <v>136</v>
      </c>
      <c r="K32" s="26" t="s">
        <v>137</v>
      </c>
      <c r="L32" s="25" t="s">
        <v>97</v>
      </c>
      <c r="M32" s="25" t="s">
        <v>26</v>
      </c>
      <c r="N32" s="25" t="s">
        <v>80</v>
      </c>
      <c r="O32" s="26" t="s">
        <v>81</v>
      </c>
      <c r="P32" s="16">
        <v>301.36</v>
      </c>
      <c r="S32" s="16" t="str">
        <f>IF(Q32="","",ROUND(Q32-R32,2))</f>
        <v/>
      </c>
      <c r="T32" s="25" t="s">
        <v>17</v>
      </c>
      <c r="U32" s="14" t="s">
        <v>239</v>
      </c>
      <c r="V32" s="14" t="s">
        <v>40</v>
      </c>
      <c r="W32" s="25" t="s">
        <v>82</v>
      </c>
      <c r="X32" s="27">
        <f ca="1">IF(A32="","",IF(Y32="",TODAY()-B32,Y32-B32))</f>
        <v>51</v>
      </c>
      <c r="Z32" s="25" t="str">
        <f ca="1">IF(X32="","",IF(X32&gt;SLA_Days,"Breached",IF(X32&gt;=SLA_Days-5,"At Risk","Within SLA")))</f>
        <v>Breached</v>
      </c>
    </row>
    <row r="33" spans="1:26">
      <c r="A33" s="14" t="s">
        <v>240</v>
      </c>
      <c r="B33" s="24">
        <v>46254</v>
      </c>
      <c r="C33" s="24">
        <v>46249</v>
      </c>
      <c r="D33" s="14" t="s">
        <v>220</v>
      </c>
      <c r="E33" s="14" t="s">
        <v>221</v>
      </c>
      <c r="F33" s="24">
        <v>43242</v>
      </c>
      <c r="G33" s="14" t="s">
        <v>222</v>
      </c>
      <c r="H33" s="25" t="s">
        <v>75</v>
      </c>
      <c r="I33" s="25" t="s">
        <v>76</v>
      </c>
      <c r="J33" s="14" t="s">
        <v>88</v>
      </c>
      <c r="K33" s="26" t="s">
        <v>89</v>
      </c>
      <c r="L33" s="25" t="s">
        <v>97</v>
      </c>
      <c r="M33" s="25" t="s">
        <v>27</v>
      </c>
      <c r="N33" s="25" t="s">
        <v>90</v>
      </c>
      <c r="O33" s="26" t="s">
        <v>91</v>
      </c>
      <c r="P33" s="16">
        <v>5733.32</v>
      </c>
      <c r="Q33" s="16">
        <v>4873.32</v>
      </c>
      <c r="R33" s="16">
        <v>4142.32</v>
      </c>
      <c r="S33" s="16">
        <f>IF(Q33="","",ROUND(Q33-R33,2))</f>
        <v>731</v>
      </c>
      <c r="T33" s="25" t="s">
        <v>18</v>
      </c>
      <c r="V33" s="14" t="s">
        <v>40</v>
      </c>
      <c r="W33" s="25" t="s">
        <v>82</v>
      </c>
      <c r="X33" s="27">
        <f ca="1">IF(A33="","",IF(Y33="",TODAY()-B33,Y33-B33))</f>
        <v>26</v>
      </c>
      <c r="Y33" s="24">
        <v>46280</v>
      </c>
      <c r="Z33" s="25" t="str">
        <f ca="1">IF(X33="","",IF(X33&gt;SLA_Days,"Breached",IF(X33&gt;=SLA_Days-5,"At Risk","Within SLA")))</f>
        <v>At Risk</v>
      </c>
    </row>
    <row r="34" spans="1:26">
      <c r="A34" s="14" t="s">
        <v>241</v>
      </c>
      <c r="B34" s="24">
        <v>46254</v>
      </c>
      <c r="C34" s="24">
        <v>46244</v>
      </c>
      <c r="D34" s="14" t="s">
        <v>93</v>
      </c>
      <c r="E34" s="14" t="s">
        <v>94</v>
      </c>
      <c r="F34" s="24">
        <v>41189</v>
      </c>
      <c r="G34" s="14" t="s">
        <v>95</v>
      </c>
      <c r="H34" s="25" t="s">
        <v>96</v>
      </c>
      <c r="I34" s="25" t="s">
        <v>76</v>
      </c>
      <c r="J34" s="14" t="s">
        <v>242</v>
      </c>
      <c r="K34" s="26" t="s">
        <v>243</v>
      </c>
      <c r="L34" s="25" t="s">
        <v>97</v>
      </c>
      <c r="M34" s="25" t="s">
        <v>26</v>
      </c>
      <c r="N34" s="25" t="s">
        <v>213</v>
      </c>
      <c r="O34" s="26" t="s">
        <v>214</v>
      </c>
      <c r="P34" s="16">
        <v>1476.18</v>
      </c>
      <c r="S34" s="16" t="str">
        <f>IF(Q34="","",ROUND(Q34-R34,2))</f>
        <v/>
      </c>
      <c r="T34" s="25" t="s">
        <v>17</v>
      </c>
      <c r="U34" s="14" t="s">
        <v>244</v>
      </c>
      <c r="V34" s="14" t="s">
        <v>38</v>
      </c>
      <c r="W34" s="25" t="s">
        <v>82</v>
      </c>
      <c r="X34" s="27">
        <f ca="1">IF(A34="","",IF(Y34="",TODAY()-B34,Y34-B34))</f>
        <v>50</v>
      </c>
      <c r="Z34" s="25" t="str">
        <f ca="1">IF(X34="","",IF(X34&gt;SLA_Days,"Breached",IF(X34&gt;=SLA_Days-5,"At Risk","Within SLA")))</f>
        <v>Breached</v>
      </c>
    </row>
    <row r="35" spans="1:26">
      <c r="A35" s="14" t="s">
        <v>245</v>
      </c>
      <c r="B35" s="24">
        <v>46254</v>
      </c>
      <c r="C35" s="24">
        <v>46247</v>
      </c>
      <c r="D35" s="14" t="s">
        <v>150</v>
      </c>
      <c r="E35" s="14" t="s">
        <v>151</v>
      </c>
      <c r="F35" s="24">
        <v>39048</v>
      </c>
      <c r="G35" s="14" t="s">
        <v>152</v>
      </c>
      <c r="H35" s="25" t="s">
        <v>75</v>
      </c>
      <c r="I35" s="25" t="s">
        <v>76</v>
      </c>
      <c r="J35" s="14" t="s">
        <v>242</v>
      </c>
      <c r="K35" s="26" t="s">
        <v>243</v>
      </c>
      <c r="L35" s="25" t="s">
        <v>97</v>
      </c>
      <c r="M35" s="25" t="s">
        <v>26</v>
      </c>
      <c r="N35" s="25" t="s">
        <v>98</v>
      </c>
      <c r="O35" s="26" t="s">
        <v>99</v>
      </c>
      <c r="P35" s="16">
        <v>298</v>
      </c>
      <c r="S35" s="16" t="str">
        <f>IF(Q35="","",ROUND(Q35-R35,2))</f>
        <v/>
      </c>
      <c r="T35" s="25" t="s">
        <v>15</v>
      </c>
      <c r="V35" s="14" t="s">
        <v>43</v>
      </c>
      <c r="W35" s="25" t="s">
        <v>82</v>
      </c>
      <c r="X35" s="27">
        <f ca="1">IF(A35="","",IF(Y35="",TODAY()-B35,Y35-B35))</f>
        <v>50</v>
      </c>
      <c r="Z35" s="25" t="str">
        <f ca="1">IF(X35="","",IF(X35&gt;SLA_Days,"Breached",IF(X35&gt;=SLA_Days-5,"At Risk","Within SLA")))</f>
        <v>Breached</v>
      </c>
    </row>
    <row r="36" spans="1:26">
      <c r="A36" s="14" t="s">
        <v>246</v>
      </c>
      <c r="B36" s="24">
        <v>46255</v>
      </c>
      <c r="C36" s="24">
        <v>46248</v>
      </c>
      <c r="D36" s="14" t="s">
        <v>72</v>
      </c>
      <c r="E36" s="14" t="s">
        <v>73</v>
      </c>
      <c r="F36" s="24">
        <v>21159</v>
      </c>
      <c r="G36" s="14" t="s">
        <v>74</v>
      </c>
      <c r="H36" s="25" t="s">
        <v>75</v>
      </c>
      <c r="I36" s="25" t="s">
        <v>76</v>
      </c>
      <c r="J36" s="14" t="s">
        <v>121</v>
      </c>
      <c r="K36" s="26" t="s">
        <v>122</v>
      </c>
      <c r="L36" s="25" t="s">
        <v>97</v>
      </c>
      <c r="M36" s="25" t="s">
        <v>24</v>
      </c>
      <c r="N36" s="25" t="s">
        <v>123</v>
      </c>
      <c r="O36" s="26" t="s">
        <v>124</v>
      </c>
      <c r="P36" s="16">
        <v>31926.57</v>
      </c>
      <c r="S36" s="16" t="str">
        <f>IF(Q36="","",ROUND(Q36-R36,2))</f>
        <v/>
      </c>
      <c r="T36" s="25" t="s">
        <v>17</v>
      </c>
      <c r="U36" s="14" t="s">
        <v>239</v>
      </c>
      <c r="V36" s="14" t="s">
        <v>38</v>
      </c>
      <c r="W36" s="25" t="s">
        <v>125</v>
      </c>
      <c r="X36" s="27">
        <f ca="1">IF(A36="","",IF(Y36="",TODAY()-B36,Y36-B36))</f>
        <v>49</v>
      </c>
      <c r="Z36" s="25" t="str">
        <f ca="1">IF(X36="","",IF(X36&gt;SLA_Days,"Breached",IF(X36&gt;=SLA_Days-5,"At Risk","Within SLA")))</f>
        <v>Breached</v>
      </c>
    </row>
    <row r="37" spans="1:26">
      <c r="A37" s="14" t="s">
        <v>247</v>
      </c>
      <c r="B37" s="24">
        <v>46256</v>
      </c>
      <c r="C37" s="24">
        <v>46242</v>
      </c>
      <c r="D37" s="14" t="s">
        <v>178</v>
      </c>
      <c r="E37" s="14" t="s">
        <v>179</v>
      </c>
      <c r="F37" s="24">
        <v>29657</v>
      </c>
      <c r="G37" s="14" t="s">
        <v>180</v>
      </c>
      <c r="H37" s="25" t="s">
        <v>75</v>
      </c>
      <c r="I37" s="25" t="s">
        <v>76</v>
      </c>
      <c r="J37" s="14" t="s">
        <v>142</v>
      </c>
      <c r="K37" s="26" t="s">
        <v>143</v>
      </c>
      <c r="L37" s="25" t="s">
        <v>97</v>
      </c>
      <c r="M37" s="25" t="s">
        <v>25</v>
      </c>
      <c r="N37" s="25" t="s">
        <v>206</v>
      </c>
      <c r="O37" s="26" t="s">
        <v>207</v>
      </c>
      <c r="P37" s="16">
        <v>505.95</v>
      </c>
      <c r="S37" s="16" t="str">
        <f>IF(Q37="","",ROUND(Q37-R37,2))</f>
        <v/>
      </c>
      <c r="T37" s="25" t="s">
        <v>17</v>
      </c>
      <c r="U37" s="14" t="s">
        <v>248</v>
      </c>
      <c r="V37" s="14" t="s">
        <v>39</v>
      </c>
      <c r="W37" s="25" t="s">
        <v>82</v>
      </c>
      <c r="X37" s="27">
        <f ca="1">IF(A37="","",IF(Y37="",TODAY()-B37,Y37-B37))</f>
        <v>48</v>
      </c>
      <c r="Z37" s="25" t="str">
        <f ca="1">IF(X37="","",IF(X37&gt;SLA_Days,"Breached",IF(X37&gt;=SLA_Days-5,"At Risk","Within SLA")))</f>
        <v>Breached</v>
      </c>
    </row>
    <row r="38" spans="1:26">
      <c r="A38" s="14" t="s">
        <v>249</v>
      </c>
      <c r="B38" s="24">
        <v>46260</v>
      </c>
      <c r="C38" s="24">
        <v>46241</v>
      </c>
      <c r="D38" s="14" t="s">
        <v>250</v>
      </c>
      <c r="E38" s="14" t="s">
        <v>251</v>
      </c>
      <c r="F38" s="24">
        <v>20198</v>
      </c>
      <c r="G38" s="14" t="s">
        <v>252</v>
      </c>
      <c r="H38" s="25" t="s">
        <v>104</v>
      </c>
      <c r="I38" s="25" t="s">
        <v>76</v>
      </c>
      <c r="J38" s="14" t="s">
        <v>253</v>
      </c>
      <c r="K38" s="26" t="s">
        <v>254</v>
      </c>
      <c r="L38" s="25" t="s">
        <v>79</v>
      </c>
      <c r="M38" s="25" t="s">
        <v>29</v>
      </c>
      <c r="N38" s="25" t="s">
        <v>255</v>
      </c>
      <c r="O38" s="26" t="s">
        <v>256</v>
      </c>
      <c r="P38" s="16">
        <v>251.9</v>
      </c>
      <c r="Q38" s="16">
        <v>105.8</v>
      </c>
      <c r="R38" s="16">
        <v>74.06</v>
      </c>
      <c r="S38" s="16">
        <f>IF(Q38="","",ROUND(Q38-R38,2))</f>
        <v>31.74</v>
      </c>
      <c r="T38" s="25" t="s">
        <v>19</v>
      </c>
      <c r="V38" s="14" t="s">
        <v>41</v>
      </c>
      <c r="W38" s="25" t="s">
        <v>82</v>
      </c>
      <c r="X38" s="27">
        <f ca="1">IF(A38="","",IF(Y38="",TODAY()-B38,Y38-B38))</f>
        <v>14</v>
      </c>
      <c r="Y38" s="24">
        <v>46274</v>
      </c>
      <c r="Z38" s="25" t="str">
        <f ca="1">IF(X38="","",IF(X38&gt;SLA_Days,"Breached",IF(X38&gt;=SLA_Days-5,"At Risk","Within SLA")))</f>
        <v>Within SLA</v>
      </c>
    </row>
    <row r="39" spans="1:26">
      <c r="A39" s="14" t="s">
        <v>257</v>
      </c>
      <c r="B39" s="24">
        <v>46261</v>
      </c>
      <c r="C39" s="24">
        <v>46252</v>
      </c>
      <c r="D39" s="14" t="s">
        <v>258</v>
      </c>
      <c r="E39" s="14" t="s">
        <v>259</v>
      </c>
      <c r="F39" s="24">
        <v>30278</v>
      </c>
      <c r="G39" s="14" t="s">
        <v>260</v>
      </c>
      <c r="H39" s="25" t="s">
        <v>75</v>
      </c>
      <c r="I39" s="25" t="s">
        <v>76</v>
      </c>
      <c r="J39" s="14" t="s">
        <v>164</v>
      </c>
      <c r="K39" s="26" t="s">
        <v>165</v>
      </c>
      <c r="L39" s="25" t="s">
        <v>97</v>
      </c>
      <c r="M39" s="25" t="s">
        <v>25</v>
      </c>
      <c r="N39" s="25" t="s">
        <v>144</v>
      </c>
      <c r="O39" s="26" t="s">
        <v>81</v>
      </c>
      <c r="P39" s="16">
        <v>313.27</v>
      </c>
      <c r="Q39" s="16">
        <v>203.63</v>
      </c>
      <c r="R39" s="16">
        <v>173.09</v>
      </c>
      <c r="S39" s="16">
        <f>IF(Q39="","",ROUND(Q39-R39,2))</f>
        <v>30.54</v>
      </c>
      <c r="T39" s="25" t="s">
        <v>19</v>
      </c>
      <c r="V39" s="14" t="s">
        <v>41</v>
      </c>
      <c r="W39" s="25" t="s">
        <v>82</v>
      </c>
      <c r="X39" s="27">
        <f ca="1">IF(A39="","",IF(Y39="",TODAY()-B39,Y39-B39))</f>
        <v>10</v>
      </c>
      <c r="Y39" s="24">
        <v>46271</v>
      </c>
      <c r="Z39" s="25" t="str">
        <f ca="1">IF(X39="","",IF(X39&gt;SLA_Days,"Breached",IF(X39&gt;=SLA_Days-5,"At Risk","Within SLA")))</f>
        <v>Within SLA</v>
      </c>
    </row>
    <row r="40" spans="1:26">
      <c r="A40" s="14" t="s">
        <v>261</v>
      </c>
      <c r="B40" s="24">
        <v>46263</v>
      </c>
      <c r="C40" s="24">
        <v>46245</v>
      </c>
      <c r="D40" s="14" t="s">
        <v>235</v>
      </c>
      <c r="E40" s="14" t="s">
        <v>236</v>
      </c>
      <c r="F40" s="24">
        <v>34518</v>
      </c>
      <c r="G40" s="14" t="s">
        <v>237</v>
      </c>
      <c r="H40" s="25" t="s">
        <v>75</v>
      </c>
      <c r="I40" s="25" t="s">
        <v>76</v>
      </c>
      <c r="J40" s="14" t="s">
        <v>242</v>
      </c>
      <c r="K40" s="26" t="s">
        <v>243</v>
      </c>
      <c r="L40" s="25" t="s">
        <v>97</v>
      </c>
      <c r="M40" s="25" t="s">
        <v>26</v>
      </c>
      <c r="N40" s="25" t="s">
        <v>189</v>
      </c>
      <c r="O40" s="26" t="s">
        <v>190</v>
      </c>
      <c r="P40" s="16">
        <v>188.46</v>
      </c>
      <c r="S40" s="16" t="str">
        <f>IF(Q40="","",ROUND(Q40-R40,2))</f>
        <v/>
      </c>
      <c r="T40" s="25" t="s">
        <v>16</v>
      </c>
      <c r="V40" s="14" t="s">
        <v>41</v>
      </c>
      <c r="W40" s="25" t="s">
        <v>159</v>
      </c>
      <c r="X40" s="27">
        <f ca="1">IF(A40="","",IF(Y40="",TODAY()-B40,Y40-B40))</f>
        <v>41</v>
      </c>
      <c r="Z40" s="25" t="str">
        <f ca="1">IF(X40="","",IF(X40&gt;SLA_Days,"Breached",IF(X40&gt;=SLA_Days-5,"At Risk","Within SLA")))</f>
        <v>Breached</v>
      </c>
    </row>
    <row r="41" spans="1:26">
      <c r="A41" s="14" t="s">
        <v>262</v>
      </c>
      <c r="B41" s="24">
        <v>46264</v>
      </c>
      <c r="C41" s="24">
        <v>46252</v>
      </c>
      <c r="D41" s="14" t="s">
        <v>263</v>
      </c>
      <c r="E41" s="14" t="s">
        <v>264</v>
      </c>
      <c r="F41" s="24">
        <v>17586</v>
      </c>
      <c r="G41" s="14" t="s">
        <v>265</v>
      </c>
      <c r="H41" s="25" t="s">
        <v>87</v>
      </c>
      <c r="I41" s="25" t="s">
        <v>76</v>
      </c>
      <c r="J41" s="14" t="s">
        <v>77</v>
      </c>
      <c r="K41" s="26" t="s">
        <v>78</v>
      </c>
      <c r="L41" s="25" t="s">
        <v>97</v>
      </c>
      <c r="M41" s="25" t="s">
        <v>26</v>
      </c>
      <c r="N41" s="25" t="s">
        <v>189</v>
      </c>
      <c r="O41" s="26" t="s">
        <v>190</v>
      </c>
      <c r="P41" s="16">
        <v>147.09</v>
      </c>
      <c r="Q41" s="16">
        <v>102.96</v>
      </c>
      <c r="R41" s="16">
        <v>82.37</v>
      </c>
      <c r="S41" s="16">
        <f>IF(Q41="","",ROUND(Q41-R41,2))</f>
        <v>20.59</v>
      </c>
      <c r="T41" s="25" t="s">
        <v>19</v>
      </c>
      <c r="V41" s="14" t="s">
        <v>41</v>
      </c>
      <c r="W41" s="25" t="s">
        <v>82</v>
      </c>
      <c r="X41" s="27">
        <f ca="1">IF(A41="","",IF(Y41="",TODAY()-B41,Y41-B41))</f>
        <v>8</v>
      </c>
      <c r="Y41" s="24">
        <v>46272</v>
      </c>
      <c r="Z41" s="25" t="str">
        <f ca="1">IF(X41="","",IF(X41&gt;SLA_Days,"Breached",IF(X41&gt;=SLA_Days-5,"At Risk","Within SLA")))</f>
        <v>Within SLA</v>
      </c>
    </row>
    <row r="42" spans="1:26">
      <c r="A42" s="14" t="s">
        <v>266</v>
      </c>
      <c r="B42" s="24">
        <v>46264</v>
      </c>
      <c r="C42" s="24">
        <v>46251</v>
      </c>
      <c r="D42" s="14" t="s">
        <v>224</v>
      </c>
      <c r="E42" s="14" t="s">
        <v>225</v>
      </c>
      <c r="F42" s="24">
        <v>29163</v>
      </c>
      <c r="G42" s="14" t="s">
        <v>226</v>
      </c>
      <c r="H42" s="25" t="s">
        <v>104</v>
      </c>
      <c r="I42" s="25" t="s">
        <v>76</v>
      </c>
      <c r="J42" s="14" t="s">
        <v>77</v>
      </c>
      <c r="K42" s="26" t="s">
        <v>78</v>
      </c>
      <c r="L42" s="25" t="s">
        <v>97</v>
      </c>
      <c r="M42" s="25" t="s">
        <v>26</v>
      </c>
      <c r="N42" s="25" t="s">
        <v>213</v>
      </c>
      <c r="O42" s="26" t="s">
        <v>214</v>
      </c>
      <c r="P42" s="16">
        <v>975.84</v>
      </c>
      <c r="S42" s="16" t="str">
        <f>IF(Q42="","",ROUND(Q42-R42,2))</f>
        <v/>
      </c>
      <c r="T42" s="25" t="s">
        <v>17</v>
      </c>
      <c r="U42" s="14" t="s">
        <v>267</v>
      </c>
      <c r="V42" s="14" t="s">
        <v>38</v>
      </c>
      <c r="W42" s="25" t="s">
        <v>82</v>
      </c>
      <c r="X42" s="27">
        <f ca="1">IF(A42="","",IF(Y42="",TODAY()-B42,Y42-B42))</f>
        <v>40</v>
      </c>
      <c r="Z42" s="25" t="str">
        <f ca="1">IF(X42="","",IF(X42&gt;SLA_Days,"Breached",IF(X42&gt;=SLA_Days-5,"At Risk","Within SLA")))</f>
        <v>Breached</v>
      </c>
    </row>
    <row r="43" spans="1:26">
      <c r="A43" s="14" t="s">
        <v>268</v>
      </c>
      <c r="B43" s="24">
        <v>46265</v>
      </c>
      <c r="C43" s="24">
        <v>46259</v>
      </c>
      <c r="D43" s="14" t="s">
        <v>269</v>
      </c>
      <c r="E43" s="14" t="s">
        <v>270</v>
      </c>
      <c r="F43" s="24">
        <v>26656</v>
      </c>
      <c r="G43" s="14" t="s">
        <v>271</v>
      </c>
      <c r="H43" s="25" t="s">
        <v>104</v>
      </c>
      <c r="I43" s="25" t="s">
        <v>76</v>
      </c>
      <c r="J43" s="14" t="s">
        <v>112</v>
      </c>
      <c r="K43" s="26" t="s">
        <v>113</v>
      </c>
      <c r="L43" s="25" t="s">
        <v>79</v>
      </c>
      <c r="M43" s="25" t="s">
        <v>28</v>
      </c>
      <c r="N43" s="25" t="s">
        <v>153</v>
      </c>
      <c r="O43" s="26" t="s">
        <v>154</v>
      </c>
      <c r="P43" s="16">
        <v>155.91999999999999</v>
      </c>
      <c r="S43" s="16" t="str">
        <f>IF(Q43="","",ROUND(Q43-R43,2))</f>
        <v/>
      </c>
      <c r="T43" s="25" t="s">
        <v>16</v>
      </c>
      <c r="V43" s="14" t="s">
        <v>38</v>
      </c>
      <c r="W43" s="25" t="s">
        <v>82</v>
      </c>
      <c r="X43" s="27">
        <f ca="1">IF(A43="","",IF(Y43="",TODAY()-B43,Y43-B43))</f>
        <v>39</v>
      </c>
      <c r="Z43" s="25" t="str">
        <f ca="1">IF(X43="","",IF(X43&gt;SLA_Days,"Breached",IF(X43&gt;=SLA_Days-5,"At Risk","Within SLA")))</f>
        <v>Breached</v>
      </c>
    </row>
    <row r="44" spans="1:26">
      <c r="A44" s="14" t="s">
        <v>272</v>
      </c>
      <c r="B44" s="24">
        <v>46268</v>
      </c>
      <c r="C44" s="24">
        <v>46266</v>
      </c>
      <c r="D44" s="14" t="s">
        <v>118</v>
      </c>
      <c r="E44" s="14" t="s">
        <v>119</v>
      </c>
      <c r="F44" s="24">
        <v>42515</v>
      </c>
      <c r="G44" s="14" t="s">
        <v>120</v>
      </c>
      <c r="H44" s="25" t="s">
        <v>75</v>
      </c>
      <c r="I44" s="25" t="s">
        <v>76</v>
      </c>
      <c r="J44" s="14" t="s">
        <v>121</v>
      </c>
      <c r="K44" s="26" t="s">
        <v>122</v>
      </c>
      <c r="L44" s="25" t="s">
        <v>97</v>
      </c>
      <c r="M44" s="25" t="s">
        <v>24</v>
      </c>
      <c r="N44" s="25" t="s">
        <v>273</v>
      </c>
      <c r="O44" s="26" t="s">
        <v>274</v>
      </c>
      <c r="P44" s="16">
        <v>54154.73</v>
      </c>
      <c r="S44" s="16" t="str">
        <f>IF(Q44="","",ROUND(Q44-R44,2))</f>
        <v/>
      </c>
      <c r="T44" s="25" t="s">
        <v>17</v>
      </c>
      <c r="U44" s="14" t="s">
        <v>248</v>
      </c>
      <c r="V44" s="14" t="s">
        <v>41</v>
      </c>
      <c r="W44" s="25" t="s">
        <v>125</v>
      </c>
      <c r="X44" s="27">
        <f ca="1">IF(A44="","",IF(Y44="",TODAY()-B44,Y44-B44))</f>
        <v>36</v>
      </c>
      <c r="Z44" s="25" t="str">
        <f ca="1">IF(X44="","",IF(X44&gt;SLA_Days,"Breached",IF(X44&gt;=SLA_Days-5,"At Risk","Within SLA")))</f>
        <v>Breached</v>
      </c>
    </row>
    <row r="45" spans="1:26">
      <c r="A45" s="14" t="s">
        <v>275</v>
      </c>
      <c r="B45" s="24">
        <v>46277</v>
      </c>
      <c r="C45" s="24">
        <v>46258</v>
      </c>
      <c r="D45" s="14" t="s">
        <v>84</v>
      </c>
      <c r="E45" s="14" t="s">
        <v>85</v>
      </c>
      <c r="F45" s="24">
        <v>30414</v>
      </c>
      <c r="G45" s="14" t="s">
        <v>86</v>
      </c>
      <c r="H45" s="25" t="s">
        <v>87</v>
      </c>
      <c r="I45" s="25" t="s">
        <v>76</v>
      </c>
      <c r="J45" s="14" t="s">
        <v>195</v>
      </c>
      <c r="K45" s="26" t="s">
        <v>196</v>
      </c>
      <c r="L45" s="25" t="s">
        <v>97</v>
      </c>
      <c r="M45" s="25" t="s">
        <v>25</v>
      </c>
      <c r="N45" s="25" t="s">
        <v>144</v>
      </c>
      <c r="O45" s="26" t="s">
        <v>81</v>
      </c>
      <c r="P45" s="16">
        <v>227.38</v>
      </c>
      <c r="S45" s="16" t="str">
        <f>IF(Q45="","",ROUND(Q45-R45,2))</f>
        <v/>
      </c>
      <c r="T45" s="25" t="s">
        <v>16</v>
      </c>
      <c r="V45" s="14" t="s">
        <v>41</v>
      </c>
      <c r="W45" s="25" t="s">
        <v>159</v>
      </c>
      <c r="X45" s="27">
        <f ca="1">IF(A45="","",IF(Y45="",TODAY()-B45,Y45-B45))</f>
        <v>27</v>
      </c>
      <c r="Z45" s="25" t="str">
        <f ca="1">IF(X45="","",IF(X45&gt;SLA_Days,"Breached",IF(X45&gt;=SLA_Days-5,"At Risk","Within SLA")))</f>
        <v>At Risk</v>
      </c>
    </row>
    <row r="46" spans="1:26">
      <c r="A46" s="14" t="s">
        <v>276</v>
      </c>
      <c r="B46" s="24">
        <v>46279</v>
      </c>
      <c r="C46" s="24">
        <v>46276</v>
      </c>
      <c r="D46" s="14" t="s">
        <v>139</v>
      </c>
      <c r="E46" s="14" t="s">
        <v>140</v>
      </c>
      <c r="F46" s="24">
        <v>33964</v>
      </c>
      <c r="G46" s="14" t="s">
        <v>141</v>
      </c>
      <c r="H46" s="25" t="s">
        <v>87</v>
      </c>
      <c r="I46" s="25" t="s">
        <v>277</v>
      </c>
      <c r="J46" s="14" t="s">
        <v>77</v>
      </c>
      <c r="K46" s="26" t="s">
        <v>78</v>
      </c>
      <c r="L46" s="25" t="s">
        <v>97</v>
      </c>
      <c r="M46" s="25" t="s">
        <v>26</v>
      </c>
      <c r="N46" s="25" t="s">
        <v>189</v>
      </c>
      <c r="O46" s="26" t="s">
        <v>190</v>
      </c>
      <c r="P46" s="16">
        <v>185</v>
      </c>
      <c r="S46" s="16" t="str">
        <f>IF(Q46="","",ROUND(Q46-R46,2))</f>
        <v/>
      </c>
      <c r="T46" s="25" t="s">
        <v>15</v>
      </c>
      <c r="V46" s="14" t="s">
        <v>43</v>
      </c>
      <c r="W46" s="25" t="s">
        <v>159</v>
      </c>
      <c r="X46" s="27">
        <f ca="1">IF(A46="","",IF(Y46="",TODAY()-B46,Y46-B46))</f>
        <v>25</v>
      </c>
      <c r="Z46" s="25" t="str">
        <f ca="1">IF(X46="","",IF(X46&gt;SLA_Days,"Breached",IF(X46&gt;=SLA_Days-5,"At Risk","Within SLA")))</f>
        <v>At Risk</v>
      </c>
    </row>
    <row r="47" spans="1:26">
      <c r="A47" s="14" t="s">
        <v>278</v>
      </c>
      <c r="B47" s="24">
        <v>46279</v>
      </c>
      <c r="C47" s="24">
        <v>46268</v>
      </c>
      <c r="D47" s="14" t="s">
        <v>139</v>
      </c>
      <c r="E47" s="14" t="s">
        <v>140</v>
      </c>
      <c r="F47" s="24">
        <v>33964</v>
      </c>
      <c r="G47" s="14" t="s">
        <v>141</v>
      </c>
      <c r="H47" s="25" t="s">
        <v>87</v>
      </c>
      <c r="I47" s="25" t="s">
        <v>277</v>
      </c>
      <c r="J47" s="14" t="s">
        <v>112</v>
      </c>
      <c r="K47" s="26" t="s">
        <v>113</v>
      </c>
      <c r="L47" s="25" t="s">
        <v>97</v>
      </c>
      <c r="M47" s="25" t="s">
        <v>28</v>
      </c>
      <c r="N47" s="25" t="s">
        <v>130</v>
      </c>
      <c r="O47" s="26" t="s">
        <v>131</v>
      </c>
      <c r="P47" s="16">
        <v>265</v>
      </c>
      <c r="S47" s="16" t="str">
        <f>IF(Q47="","",ROUND(Q47-R47,2))</f>
        <v/>
      </c>
      <c r="T47" s="25" t="s">
        <v>15</v>
      </c>
      <c r="V47" s="14" t="s">
        <v>43</v>
      </c>
      <c r="W47" s="25" t="s">
        <v>82</v>
      </c>
      <c r="X47" s="27">
        <f ca="1">IF(A47="","",IF(Y47="",TODAY()-B47,Y47-B47))</f>
        <v>25</v>
      </c>
      <c r="Z47" s="25" t="str">
        <f ca="1">IF(X47="","",IF(X47&gt;SLA_Days,"Breached",IF(X47&gt;=SLA_Days-5,"At Risk","Within SLA")))</f>
        <v>At Risk</v>
      </c>
    </row>
    <row r="48" spans="1:26">
      <c r="A48" s="14" t="s">
        <v>279</v>
      </c>
      <c r="B48" s="24">
        <v>46280</v>
      </c>
      <c r="C48" s="24">
        <v>46263</v>
      </c>
      <c r="D48" s="14" t="s">
        <v>139</v>
      </c>
      <c r="E48" s="14" t="s">
        <v>140</v>
      </c>
      <c r="F48" s="24">
        <v>33964</v>
      </c>
      <c r="G48" s="14" t="s">
        <v>141</v>
      </c>
      <c r="H48" s="25" t="s">
        <v>87</v>
      </c>
      <c r="I48" s="25" t="s">
        <v>76</v>
      </c>
      <c r="J48" s="14" t="s">
        <v>88</v>
      </c>
      <c r="K48" s="26" t="s">
        <v>89</v>
      </c>
      <c r="L48" s="25" t="s">
        <v>97</v>
      </c>
      <c r="M48" s="25" t="s">
        <v>27</v>
      </c>
      <c r="O48" s="26" t="s">
        <v>91</v>
      </c>
      <c r="P48" s="16">
        <v>5122.72</v>
      </c>
      <c r="S48" s="16" t="str">
        <f>IF(Q48="","",ROUND(Q48-R48,2))</f>
        <v/>
      </c>
      <c r="T48" s="25" t="s">
        <v>15</v>
      </c>
      <c r="V48" s="14" t="s">
        <v>43</v>
      </c>
      <c r="W48" s="25" t="s">
        <v>82</v>
      </c>
      <c r="X48" s="27">
        <f ca="1">IF(A48="","",IF(Y48="",TODAY()-B48,Y48-B48))</f>
        <v>24</v>
      </c>
      <c r="Z48" s="25" t="str">
        <f ca="1">IF(X48="","",IF(X48&gt;SLA_Days,"Breached",IF(X48&gt;=SLA_Days-5,"At Risk","Within SLA")))</f>
        <v>Within SLA</v>
      </c>
    </row>
    <row r="49" spans="1:28">
      <c r="A49" s="14" t="s">
        <v>126</v>
      </c>
      <c r="B49" s="24">
        <v>46281</v>
      </c>
      <c r="C49" s="24">
        <v>46271</v>
      </c>
      <c r="D49" s="14" t="s">
        <v>127</v>
      </c>
      <c r="E49" s="14" t="s">
        <v>128</v>
      </c>
      <c r="F49" s="24">
        <v>41489</v>
      </c>
      <c r="G49" s="14" t="s">
        <v>129</v>
      </c>
      <c r="H49" s="25" t="s">
        <v>96</v>
      </c>
      <c r="I49" s="25" t="s">
        <v>76</v>
      </c>
      <c r="J49" s="14" t="s">
        <v>112</v>
      </c>
      <c r="K49" s="26" t="s">
        <v>113</v>
      </c>
      <c r="L49" s="25" t="s">
        <v>97</v>
      </c>
      <c r="M49" s="25" t="s">
        <v>28</v>
      </c>
      <c r="N49" s="25" t="s">
        <v>130</v>
      </c>
      <c r="O49" s="26" t="s">
        <v>131</v>
      </c>
      <c r="P49" s="16">
        <v>284.2</v>
      </c>
      <c r="S49" s="16" t="str">
        <f>IF(Q49="","",ROUND(Q49-R49,2))</f>
        <v/>
      </c>
      <c r="T49" s="25" t="s">
        <v>15</v>
      </c>
      <c r="V49" s="14" t="s">
        <v>43</v>
      </c>
      <c r="W49" s="25" t="s">
        <v>82</v>
      </c>
      <c r="X49" s="27">
        <f ca="1">IF(A49="","",IF(Y49="",TODAY()-B49,Y49-B49))</f>
        <v>23</v>
      </c>
      <c r="Z49" s="25" t="str">
        <f ca="1">IF(X49="","",IF(X49&gt;SLA_Days,"Breached",IF(X49&gt;=SLA_Days-5,"At Risk","Within SLA")))</f>
        <v>Within SLA</v>
      </c>
      <c r="AB49" s="14" t="s">
        <v>280</v>
      </c>
    </row>
    <row r="50" spans="1:28">
      <c r="A50" s="14" t="s">
        <v>281</v>
      </c>
      <c r="B50" s="24">
        <v>46281</v>
      </c>
      <c r="C50" s="24">
        <v>46272</v>
      </c>
      <c r="D50" s="14" t="s">
        <v>161</v>
      </c>
      <c r="E50" s="14" t="s">
        <v>162</v>
      </c>
      <c r="F50" s="24">
        <v>21322</v>
      </c>
      <c r="G50" s="14" t="s">
        <v>163</v>
      </c>
      <c r="H50" s="25" t="s">
        <v>96</v>
      </c>
      <c r="I50" s="25" t="s">
        <v>76</v>
      </c>
      <c r="J50" s="14" t="s">
        <v>142</v>
      </c>
      <c r="K50" s="26" t="s">
        <v>282</v>
      </c>
      <c r="L50" s="25" t="s">
        <v>97</v>
      </c>
      <c r="M50" s="25" t="s">
        <v>25</v>
      </c>
      <c r="N50" s="25" t="s">
        <v>206</v>
      </c>
      <c r="O50" s="26" t="s">
        <v>207</v>
      </c>
      <c r="P50" s="16">
        <v>460.11</v>
      </c>
      <c r="S50" s="16" t="str">
        <f>IF(Q50="","",ROUND(Q50-R50,2))</f>
        <v/>
      </c>
      <c r="T50" s="25" t="s">
        <v>15</v>
      </c>
      <c r="V50" s="14" t="s">
        <v>43</v>
      </c>
      <c r="W50" s="25" t="s">
        <v>82</v>
      </c>
      <c r="X50" s="27">
        <f ca="1">IF(A50="","",IF(Y50="",TODAY()-B50,Y50-B50))</f>
        <v>23</v>
      </c>
      <c r="Z50" s="25" t="str">
        <f ca="1">IF(X50="","",IF(X50&gt;SLA_Days,"Breached",IF(X50&gt;=SLA_Days-5,"At Risk","Within SLA")))</f>
        <v>Within SLA</v>
      </c>
    </row>
    <row r="51" spans="1:28">
      <c r="A51" s="14" t="s">
        <v>283</v>
      </c>
      <c r="B51" s="24">
        <v>46281</v>
      </c>
      <c r="C51" s="24">
        <v>46284</v>
      </c>
      <c r="D51" s="14" t="s">
        <v>263</v>
      </c>
      <c r="E51" s="14" t="s">
        <v>264</v>
      </c>
      <c r="F51" s="24">
        <v>17586</v>
      </c>
      <c r="G51" s="14" t="s">
        <v>265</v>
      </c>
      <c r="H51" s="25" t="s">
        <v>87</v>
      </c>
      <c r="I51" s="25" t="s">
        <v>76</v>
      </c>
      <c r="J51" s="14" t="s">
        <v>242</v>
      </c>
      <c r="K51" s="26" t="s">
        <v>243</v>
      </c>
      <c r="L51" s="25" t="s">
        <v>97</v>
      </c>
      <c r="M51" s="25" t="s">
        <v>26</v>
      </c>
      <c r="N51" s="25" t="s">
        <v>98</v>
      </c>
      <c r="O51" s="26" t="s">
        <v>99</v>
      </c>
      <c r="P51" s="16">
        <v>255.99</v>
      </c>
      <c r="S51" s="16" t="str">
        <f>IF(Q51="","",ROUND(Q51-R51,2))</f>
        <v/>
      </c>
      <c r="T51" s="25" t="s">
        <v>15</v>
      </c>
      <c r="V51" s="14" t="s">
        <v>43</v>
      </c>
      <c r="W51" s="25" t="s">
        <v>82</v>
      </c>
      <c r="X51" s="27">
        <f ca="1">IF(A51="","",IF(Y51="",TODAY()-B51,Y51-B51))</f>
        <v>23</v>
      </c>
      <c r="Z51" s="25" t="str">
        <f ca="1">IF(X51="","",IF(X51&gt;SLA_Days,"Breached",IF(X51&gt;=SLA_Days-5,"At Risk","Within SLA")))</f>
        <v>Within SLA</v>
      </c>
    </row>
    <row r="52" spans="1:28">
      <c r="A52" s="14" t="s">
        <v>284</v>
      </c>
      <c r="B52" s="24">
        <v>46281</v>
      </c>
      <c r="C52" s="24">
        <v>46276</v>
      </c>
      <c r="D52" s="14" t="s">
        <v>182</v>
      </c>
      <c r="E52" s="14" t="s">
        <v>183</v>
      </c>
      <c r="F52" s="24">
        <v>40326</v>
      </c>
      <c r="G52" s="14" t="s">
        <v>184</v>
      </c>
      <c r="H52" s="25" t="s">
        <v>104</v>
      </c>
      <c r="I52" s="25" t="s">
        <v>76</v>
      </c>
      <c r="J52" s="14" t="s">
        <v>121</v>
      </c>
      <c r="K52" s="26" t="s">
        <v>122</v>
      </c>
      <c r="L52" s="25" t="s">
        <v>97</v>
      </c>
      <c r="M52" s="25" t="s">
        <v>24</v>
      </c>
      <c r="N52" s="25" t="s">
        <v>273</v>
      </c>
      <c r="O52" s="26" t="s">
        <v>274</v>
      </c>
      <c r="P52" s="16">
        <v>48750</v>
      </c>
      <c r="S52" s="16" t="str">
        <f>IF(Q52="","",ROUND(Q52-R52,2))</f>
        <v/>
      </c>
      <c r="T52" s="25" t="s">
        <v>15</v>
      </c>
      <c r="V52" s="14" t="s">
        <v>43</v>
      </c>
      <c r="W52" s="25" t="s">
        <v>125</v>
      </c>
      <c r="X52" s="27">
        <f ca="1">IF(A52="","",IF(Y52="",TODAY()-B52,Y52-B52))</f>
        <v>23</v>
      </c>
      <c r="Z52" s="25" t="str">
        <f ca="1">IF(X52="","",IF(X52&gt;SLA_Days,"Breached",IF(X52&gt;=SLA_Days-5,"At Risk","Within SLA")))</f>
        <v>Within SLA</v>
      </c>
    </row>
    <row r="53" spans="1:28">
      <c r="A53" s="14" t="s">
        <v>285</v>
      </c>
      <c r="B53" s="24">
        <v>46281</v>
      </c>
      <c r="C53" s="24">
        <v>46276</v>
      </c>
      <c r="D53" s="14" t="s">
        <v>169</v>
      </c>
      <c r="E53" s="14" t="s">
        <v>170</v>
      </c>
      <c r="F53" s="24">
        <v>25860</v>
      </c>
      <c r="G53" s="14" t="s">
        <v>171</v>
      </c>
      <c r="H53" s="25" t="s">
        <v>87</v>
      </c>
      <c r="I53" s="25" t="s">
        <v>76</v>
      </c>
      <c r="J53" s="14" t="s">
        <v>164</v>
      </c>
      <c r="K53" s="26" t="s">
        <v>165</v>
      </c>
      <c r="L53" s="25" t="s">
        <v>79</v>
      </c>
      <c r="M53" s="25" t="s">
        <v>25</v>
      </c>
      <c r="N53" s="25" t="s">
        <v>166</v>
      </c>
      <c r="O53" s="26" t="s">
        <v>167</v>
      </c>
      <c r="P53" s="16">
        <v>6840</v>
      </c>
      <c r="S53" s="16" t="str">
        <f>IF(Q53="","",ROUND(Q53-R53,2))</f>
        <v/>
      </c>
      <c r="T53" s="25" t="s">
        <v>15</v>
      </c>
      <c r="V53" s="14" t="s">
        <v>43</v>
      </c>
      <c r="W53" s="25" t="s">
        <v>82</v>
      </c>
      <c r="X53" s="27">
        <f ca="1">IF(A53="","",IF(Y53="",TODAY()-B53,Y53-B53))</f>
        <v>23</v>
      </c>
      <c r="Z53" s="25" t="str">
        <f ca="1">IF(X53="","",IF(X53&gt;SLA_Days,"Breached",IF(X53&gt;=SLA_Days-5,"At Risk","Within SLA")))</f>
        <v>Within SLA</v>
      </c>
    </row>
    <row r="54" spans="1:28">
      <c r="A54" s="14" t="s">
        <v>286</v>
      </c>
      <c r="B54" s="24">
        <v>46281</v>
      </c>
      <c r="C54" s="24">
        <v>46265</v>
      </c>
      <c r="D54" s="14" t="s">
        <v>156</v>
      </c>
      <c r="E54" s="14" t="s">
        <v>157</v>
      </c>
      <c r="F54" s="24">
        <v>39636</v>
      </c>
      <c r="G54" s="14" t="s">
        <v>158</v>
      </c>
      <c r="H54" s="25" t="s">
        <v>104</v>
      </c>
      <c r="I54" s="25" t="s">
        <v>76</v>
      </c>
      <c r="J54" s="14" t="s">
        <v>88</v>
      </c>
      <c r="K54" s="26" t="s">
        <v>89</v>
      </c>
      <c r="L54" s="25" t="s">
        <v>97</v>
      </c>
      <c r="M54" s="25" t="s">
        <v>27</v>
      </c>
      <c r="N54" s="25" t="s">
        <v>105</v>
      </c>
      <c r="O54" s="26" t="s">
        <v>106</v>
      </c>
      <c r="P54" s="16">
        <v>6215.5</v>
      </c>
      <c r="S54" s="16" t="str">
        <f>IF(Q54="","",ROUND(Q54-R54,2))</f>
        <v/>
      </c>
      <c r="T54" s="25" t="s">
        <v>15</v>
      </c>
      <c r="V54" s="14" t="s">
        <v>43</v>
      </c>
      <c r="W54" s="25" t="s">
        <v>82</v>
      </c>
      <c r="X54" s="27">
        <f ca="1">IF(A54="","",IF(Y54="",TODAY()-B54,Y54-B54))</f>
        <v>23</v>
      </c>
      <c r="Z54" s="25" t="str">
        <f ca="1">IF(X54="","",IF(X54&gt;SLA_Days,"Breached",IF(X54&gt;=SLA_Days-5,"At Risk","Within SLA")))</f>
        <v>Within SLA</v>
      </c>
    </row>
    <row r="55" spans="1:28">
      <c r="A55" s="14" t="s">
        <v>287</v>
      </c>
      <c r="B55" s="24">
        <v>46282</v>
      </c>
      <c r="C55" s="24">
        <v>46265</v>
      </c>
      <c r="D55" s="14" t="s">
        <v>118</v>
      </c>
      <c r="E55" s="14" t="s">
        <v>119</v>
      </c>
      <c r="F55" s="24">
        <v>42515</v>
      </c>
      <c r="G55" s="14" t="s">
        <v>120</v>
      </c>
      <c r="H55" s="25" t="s">
        <v>75</v>
      </c>
      <c r="I55" s="25" t="s">
        <v>76</v>
      </c>
      <c r="J55" s="14" t="s">
        <v>77</v>
      </c>
      <c r="K55" s="26" t="s">
        <v>78</v>
      </c>
      <c r="L55" s="25" t="s">
        <v>97</v>
      </c>
      <c r="M55" s="25" t="s">
        <v>26</v>
      </c>
      <c r="N55" s="25" t="s">
        <v>80</v>
      </c>
      <c r="O55" s="26" t="s">
        <v>81</v>
      </c>
      <c r="P55" s="16">
        <v>257.72000000000003</v>
      </c>
      <c r="S55" s="16" t="str">
        <f>IF(Q55="","",ROUND(Q55-R55,2))</f>
        <v/>
      </c>
      <c r="T55" s="25" t="s">
        <v>15</v>
      </c>
      <c r="V55" s="14" t="s">
        <v>43</v>
      </c>
      <c r="W55" s="25" t="s">
        <v>82</v>
      </c>
      <c r="X55" s="27">
        <f ca="1">IF(A55="","",IF(Y55="",TODAY()-B55,Y55-B55))</f>
        <v>22</v>
      </c>
      <c r="Z55" s="25" t="str">
        <f ca="1">IF(X55="","",IF(X55&gt;SLA_Days,"Breached",IF(X55&gt;=SLA_Days-5,"At Risk","Within SLA")))</f>
        <v>Within SLA</v>
      </c>
    </row>
    <row r="56" spans="1:28">
      <c r="A56" s="14" t="s">
        <v>288</v>
      </c>
      <c r="B56" s="24">
        <v>46285</v>
      </c>
      <c r="C56" s="24">
        <v>46272</v>
      </c>
      <c r="D56" s="14" t="s">
        <v>174</v>
      </c>
      <c r="E56" s="14" t="s">
        <v>175</v>
      </c>
      <c r="F56" s="24">
        <v>43792</v>
      </c>
      <c r="G56" s="14" t="s">
        <v>176</v>
      </c>
      <c r="H56" s="25" t="s">
        <v>96</v>
      </c>
      <c r="I56" s="25" t="s">
        <v>76</v>
      </c>
      <c r="J56" s="14" t="s">
        <v>242</v>
      </c>
      <c r="K56" s="26" t="s">
        <v>243</v>
      </c>
      <c r="L56" s="25" t="s">
        <v>97</v>
      </c>
      <c r="M56" s="25" t="s">
        <v>26</v>
      </c>
      <c r="N56" s="25" t="s">
        <v>189</v>
      </c>
      <c r="O56" s="26" t="s">
        <v>190</v>
      </c>
      <c r="P56" s="16">
        <v>219.78</v>
      </c>
      <c r="S56" s="16" t="str">
        <f>IF(Q56="","",ROUND(Q56-R56,2))</f>
        <v/>
      </c>
      <c r="T56" s="25" t="s">
        <v>15</v>
      </c>
      <c r="V56" s="14" t="s">
        <v>43</v>
      </c>
      <c r="W56" s="25" t="s">
        <v>82</v>
      </c>
      <c r="X56" s="27">
        <f ca="1">IF(A56="","",IF(Y56="",TODAY()-B56,Y56-B56))</f>
        <v>19</v>
      </c>
      <c r="Z56" s="25" t="str">
        <f ca="1">IF(X56="","",IF(X56&gt;SLA_Days,"Breached",IF(X56&gt;=SLA_Days-5,"At Risk","Within SLA")))</f>
        <v>Within SLA</v>
      </c>
    </row>
    <row r="57" spans="1:28">
      <c r="A57" s="14" t="s">
        <v>289</v>
      </c>
      <c r="B57" s="24">
        <v>46285</v>
      </c>
      <c r="C57" s="24">
        <v>46271</v>
      </c>
      <c r="D57" s="14" t="s">
        <v>250</v>
      </c>
      <c r="E57" s="14" t="s">
        <v>251</v>
      </c>
      <c r="F57" s="24">
        <v>20198</v>
      </c>
      <c r="G57" s="14" t="s">
        <v>252</v>
      </c>
      <c r="H57" s="25" t="s">
        <v>104</v>
      </c>
      <c r="I57" s="25" t="s">
        <v>76</v>
      </c>
      <c r="J57" s="14" t="s">
        <v>77</v>
      </c>
      <c r="K57" s="26" t="s">
        <v>78</v>
      </c>
      <c r="L57" s="25" t="s">
        <v>97</v>
      </c>
      <c r="M57" s="25" t="s">
        <v>26</v>
      </c>
      <c r="N57" s="25" t="s">
        <v>80</v>
      </c>
      <c r="O57" s="26" t="s">
        <v>81</v>
      </c>
      <c r="P57" s="16">
        <v>276.85000000000002</v>
      </c>
      <c r="S57" s="16" t="str">
        <f>IF(Q57="","",ROUND(Q57-R57,2))</f>
        <v/>
      </c>
      <c r="T57" s="25" t="s">
        <v>15</v>
      </c>
      <c r="V57" s="14" t="s">
        <v>43</v>
      </c>
      <c r="W57" s="25" t="s">
        <v>82</v>
      </c>
      <c r="X57" s="27">
        <f ca="1">IF(A57="","",IF(Y57="",TODAY()-B57,Y57-B57))</f>
        <v>19</v>
      </c>
      <c r="Z57" s="25" t="str">
        <f ca="1">IF(X57="","",IF(X57&gt;SLA_Days,"Breached",IF(X57&gt;=SLA_Days-5,"At Risk","Within SLA")))</f>
        <v>Within SLA</v>
      </c>
    </row>
    <row r="58" spans="1:28">
      <c r="A58" s="14" t="s">
        <v>290</v>
      </c>
      <c r="B58" s="24">
        <v>46285</v>
      </c>
      <c r="C58" s="24">
        <v>46275</v>
      </c>
      <c r="D58" s="14" t="s">
        <v>182</v>
      </c>
      <c r="E58" s="14" t="s">
        <v>183</v>
      </c>
      <c r="F58" s="24">
        <v>40326</v>
      </c>
      <c r="G58" s="14" t="s">
        <v>184</v>
      </c>
      <c r="H58" s="25" t="s">
        <v>104</v>
      </c>
      <c r="I58" s="25" t="s">
        <v>76</v>
      </c>
      <c r="J58" s="14" t="s">
        <v>88</v>
      </c>
      <c r="K58" s="26" t="s">
        <v>89</v>
      </c>
      <c r="L58" s="25" t="s">
        <v>97</v>
      </c>
      <c r="M58" s="25" t="s">
        <v>27</v>
      </c>
      <c r="N58" s="25" t="s">
        <v>80</v>
      </c>
      <c r="O58" s="26" t="s">
        <v>204</v>
      </c>
      <c r="P58" s="16">
        <v>723.42</v>
      </c>
      <c r="S58" s="16" t="str">
        <f>IF(Q58="","",ROUND(Q58-R58,2))</f>
        <v/>
      </c>
      <c r="T58" s="25" t="s">
        <v>15</v>
      </c>
      <c r="V58" s="14" t="s">
        <v>43</v>
      </c>
      <c r="W58" s="25" t="s">
        <v>82</v>
      </c>
      <c r="X58" s="27">
        <f ca="1">IF(A58="","",IF(Y58="",TODAY()-B58,Y58-B58))</f>
        <v>19</v>
      </c>
      <c r="Z58" s="25" t="str">
        <f ca="1">IF(X58="","",IF(X58&gt;SLA_Days,"Breached",IF(X58&gt;=SLA_Days-5,"At Risk","Within SLA")))</f>
        <v>Within SLA</v>
      </c>
    </row>
    <row r="59" spans="1:28">
      <c r="A59" s="14" t="s">
        <v>291</v>
      </c>
      <c r="B59" s="24">
        <v>46286</v>
      </c>
      <c r="C59" s="24">
        <v>46275</v>
      </c>
      <c r="D59" s="14" t="s">
        <v>263</v>
      </c>
      <c r="E59" s="14" t="s">
        <v>264</v>
      </c>
      <c r="F59" s="24">
        <v>17586</v>
      </c>
      <c r="G59" s="14" t="s">
        <v>265</v>
      </c>
      <c r="H59" s="25" t="s">
        <v>87</v>
      </c>
      <c r="I59" s="25" t="s">
        <v>76</v>
      </c>
      <c r="J59" s="14" t="s">
        <v>112</v>
      </c>
      <c r="K59" s="26" t="s">
        <v>113</v>
      </c>
      <c r="L59" s="25" t="s">
        <v>97</v>
      </c>
      <c r="M59" s="25" t="s">
        <v>28</v>
      </c>
      <c r="N59" s="25" t="s">
        <v>130</v>
      </c>
      <c r="O59" s="26" t="s">
        <v>131</v>
      </c>
      <c r="P59" s="16">
        <v>191.84</v>
      </c>
      <c r="S59" s="16" t="str">
        <f>IF(Q59="","",ROUND(Q59-R59,2))</f>
        <v/>
      </c>
      <c r="T59" s="25" t="s">
        <v>15</v>
      </c>
      <c r="V59" s="14" t="s">
        <v>43</v>
      </c>
      <c r="W59" s="25" t="s">
        <v>125</v>
      </c>
      <c r="X59" s="27">
        <f ca="1">IF(A59="","",IF(Y59="",TODAY()-B59,Y59-B59))</f>
        <v>18</v>
      </c>
      <c r="Z59" s="25" t="str">
        <f ca="1">IF(X59="","",IF(X59&gt;SLA_Days,"Breached",IF(X59&gt;=SLA_Days-5,"At Risk","Within SLA")))</f>
        <v>Within SLA</v>
      </c>
    </row>
  </sheetData>
  <autoFilter ref="A1:AB59" xr:uid="{00000000-0009-0000-0000-000001000000}"/>
  <conditionalFormatting sqref="I2:I1000">
    <cfRule type="cellIs" dxfId="9" priority="10" operator="equal">
      <formula>"Terminated"</formula>
    </cfRule>
  </conditionalFormatting>
  <conditionalFormatting sqref="T2:T1000">
    <cfRule type="cellIs" dxfId="8" priority="1" operator="equal">
      <formula>"Submitted"</formula>
    </cfRule>
    <cfRule type="cellIs" dxfId="7" priority="2" operator="equal">
      <formula>"In Review"</formula>
    </cfRule>
    <cfRule type="cellIs" dxfId="6" priority="3" operator="equal">
      <formula>"Pended"</formula>
    </cfRule>
    <cfRule type="cellIs" dxfId="5" priority="4" operator="equal">
      <formula>"Approved"</formula>
    </cfRule>
    <cfRule type="cellIs" dxfId="4" priority="5" operator="equal">
      <formula>"Paid"</formula>
    </cfRule>
    <cfRule type="cellIs" dxfId="3" priority="6" operator="equal">
      <formula>"Denied"</formula>
    </cfRule>
  </conditionalFormatting>
  <conditionalFormatting sqref="Z2:Z1000">
    <cfRule type="cellIs" dxfId="2" priority="7" operator="equal">
      <formula>"Breached"</formula>
    </cfRule>
    <cfRule type="cellIs" dxfId="1" priority="8" operator="equal">
      <formula>"At Risk"</formula>
    </cfRule>
    <cfRule type="cellIs" dxfId="0" priority="9" operator="equal">
      <formula>"Within SLA"</formula>
    </cfRule>
  </conditionalFormatting>
  <dataValidations count="7">
    <dataValidation type="list" allowBlank="1" showInputMessage="1" showErrorMessage="1" sqref="H2:H1000" xr:uid="{00000000-0002-0000-0100-000000000000}">
      <formula1>List_Plan</formula1>
    </dataValidation>
    <dataValidation type="list" allowBlank="1" showInputMessage="1" showErrorMessage="1" sqref="I2:I1000" xr:uid="{00000000-0002-0000-0100-000001000000}">
      <formula1>List_PolicyStatus</formula1>
    </dataValidation>
    <dataValidation type="list" allowBlank="1" showInputMessage="1" showErrorMessage="1" sqref="L2:L1000" xr:uid="{00000000-0002-0000-0100-000002000000}">
      <formula1>List_Network</formula1>
    </dataValidation>
    <dataValidation type="list" allowBlank="1" showInputMessage="1" showErrorMessage="1" sqref="M2:M1000" xr:uid="{00000000-0002-0000-0100-000003000000}">
      <formula1>List_ClaimType</formula1>
    </dataValidation>
    <dataValidation type="list" allowBlank="1" showInputMessage="1" showErrorMessage="1" sqref="T2:T1000" xr:uid="{00000000-0002-0000-0100-000004000000}">
      <formula1>List_Status</formula1>
    </dataValidation>
    <dataValidation type="list" allowBlank="1" showInputMessage="1" showErrorMessage="1" sqref="V2:V1000" xr:uid="{00000000-0002-0000-0100-000005000000}">
      <formula1>List_Adjuster</formula1>
    </dataValidation>
    <dataValidation type="list" allowBlank="1" showInputMessage="1" showErrorMessage="1" sqref="W2:W1000" xr:uid="{00000000-0002-0000-0100-000006000000}">
      <formula1>List_Priority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D30"/>
  <sheetViews>
    <sheetView showGridLines="0" zoomScale="90" zoomScaleNormal="90" workbookViewId="0"/>
  </sheetViews>
  <sheetFormatPr defaultRowHeight="15"/>
  <cols>
    <col min="1" max="1" width="2.7109375" customWidth="1"/>
    <col min="2" max="2" width="6.7109375" customWidth="1"/>
    <col min="3" max="3" width="34.7109375" customWidth="1"/>
    <col min="4" max="4" width="90.7109375" customWidth="1"/>
  </cols>
  <sheetData>
    <row r="1" spans="2:4">
      <c r="B1" s="29" t="s">
        <v>292</v>
      </c>
    </row>
    <row r="2" spans="2:4">
      <c r="B2" s="23" t="s">
        <v>293</v>
      </c>
    </row>
    <row r="4" spans="2:4">
      <c r="B4" s="13" t="s">
        <v>294</v>
      </c>
      <c r="C4" s="13" t="s">
        <v>295</v>
      </c>
      <c r="D4" s="13" t="s">
        <v>296</v>
      </c>
    </row>
    <row r="5" spans="2:4" ht="44.1" customHeight="1">
      <c r="B5" s="30">
        <v>1</v>
      </c>
      <c r="C5" s="31" t="s">
        <v>297</v>
      </c>
      <c r="D5" s="32" t="s">
        <v>298</v>
      </c>
    </row>
    <row r="6" spans="2:4" ht="44.1" customHeight="1">
      <c r="B6" s="30">
        <v>2</v>
      </c>
      <c r="C6" s="31" t="s">
        <v>299</v>
      </c>
      <c r="D6" s="32" t="s">
        <v>300</v>
      </c>
    </row>
    <row r="7" spans="2:4" ht="44.1" customHeight="1">
      <c r="B7" s="30">
        <v>3</v>
      </c>
      <c r="C7" s="31" t="s">
        <v>301</v>
      </c>
      <c r="D7" s="32" t="s">
        <v>302</v>
      </c>
    </row>
    <row r="8" spans="2:4" ht="44.1" customHeight="1">
      <c r="B8" s="30">
        <v>4</v>
      </c>
      <c r="C8" s="31" t="s">
        <v>303</v>
      </c>
      <c r="D8" s="32" t="s">
        <v>304</v>
      </c>
    </row>
    <row r="9" spans="2:4" ht="44.1" customHeight="1">
      <c r="B9" s="30">
        <v>5</v>
      </c>
      <c r="C9" s="31" t="s">
        <v>305</v>
      </c>
      <c r="D9" s="32" t="s">
        <v>306</v>
      </c>
    </row>
    <row r="10" spans="2:4" ht="44.1" customHeight="1">
      <c r="B10" s="30">
        <v>6</v>
      </c>
      <c r="C10" s="31" t="s">
        <v>307</v>
      </c>
      <c r="D10" s="32" t="s">
        <v>308</v>
      </c>
    </row>
    <row r="11" spans="2:4" ht="44.1" customHeight="1">
      <c r="B11" s="30">
        <v>7</v>
      </c>
      <c r="C11" s="31" t="s">
        <v>309</v>
      </c>
      <c r="D11" s="32" t="s">
        <v>310</v>
      </c>
    </row>
    <row r="12" spans="2:4" ht="44.1" customHeight="1">
      <c r="B12" s="30">
        <v>8</v>
      </c>
      <c r="C12" s="31" t="s">
        <v>311</v>
      </c>
      <c r="D12" s="32" t="s">
        <v>312</v>
      </c>
    </row>
    <row r="13" spans="2:4" ht="44.1" customHeight="1">
      <c r="B13" s="30" t="s">
        <v>313</v>
      </c>
      <c r="C13" s="31" t="s">
        <v>314</v>
      </c>
      <c r="D13" s="32" t="s">
        <v>315</v>
      </c>
    </row>
    <row r="15" spans="2:4">
      <c r="B15" s="12" t="s">
        <v>316</v>
      </c>
      <c r="C15" s="12"/>
      <c r="D15" s="12"/>
    </row>
    <row r="16" spans="2:4">
      <c r="C16" s="13" t="s">
        <v>317</v>
      </c>
      <c r="D16" s="13" t="s">
        <v>318</v>
      </c>
    </row>
    <row r="17" spans="2:4">
      <c r="C17" s="14" t="s">
        <v>319</v>
      </c>
      <c r="D17" s="14" t="s">
        <v>320</v>
      </c>
    </row>
    <row r="18" spans="2:4">
      <c r="C18" s="14" t="s">
        <v>321</v>
      </c>
      <c r="D18" s="14" t="s">
        <v>322</v>
      </c>
    </row>
    <row r="19" spans="2:4">
      <c r="C19" s="14" t="s">
        <v>323</v>
      </c>
      <c r="D19" s="14" t="s">
        <v>324</v>
      </c>
    </row>
    <row r="20" spans="2:4">
      <c r="C20" s="14" t="s">
        <v>325</v>
      </c>
      <c r="D20" s="14" t="s">
        <v>326</v>
      </c>
    </row>
    <row r="21" spans="2:4">
      <c r="C21" s="14" t="s">
        <v>327</v>
      </c>
      <c r="D21" s="14" t="s">
        <v>328</v>
      </c>
    </row>
    <row r="22" spans="2:4">
      <c r="C22" s="14" t="s">
        <v>329</v>
      </c>
      <c r="D22" s="14" t="s">
        <v>330</v>
      </c>
    </row>
    <row r="23" spans="2:4">
      <c r="C23" s="14" t="s">
        <v>331</v>
      </c>
      <c r="D23" s="14" t="s">
        <v>332</v>
      </c>
    </row>
    <row r="24" spans="2:4">
      <c r="C24" s="14" t="s">
        <v>333</v>
      </c>
      <c r="D24" s="14" t="s">
        <v>334</v>
      </c>
    </row>
    <row r="25" spans="2:4">
      <c r="C25" s="14" t="s">
        <v>335</v>
      </c>
      <c r="D25" s="14" t="s">
        <v>336</v>
      </c>
    </row>
    <row r="26" spans="2:4">
      <c r="C26" s="14" t="s">
        <v>337</v>
      </c>
      <c r="D26" s="14" t="s">
        <v>338</v>
      </c>
    </row>
    <row r="28" spans="2:4">
      <c r="B28" s="12" t="s">
        <v>339</v>
      </c>
      <c r="C28" s="12"/>
      <c r="D28" s="12"/>
    </row>
    <row r="29" spans="2:4" ht="30" customHeight="1">
      <c r="C29" s="23" t="s">
        <v>340</v>
      </c>
    </row>
    <row r="30" spans="2:4">
      <c r="C30" s="23" t="s">
        <v>341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31"/>
  <sheetViews>
    <sheetView showGridLines="0" zoomScale="90" zoomScaleNormal="90" workbookViewId="0"/>
  </sheetViews>
  <sheetFormatPr defaultRowHeight="15"/>
  <cols>
    <col min="1" max="1" width="22.7109375" customWidth="1"/>
    <col min="2" max="2" width="14.7109375" customWidth="1"/>
    <col min="3" max="3" width="58.7109375" customWidth="1"/>
    <col min="4" max="9" width="20.7109375" customWidth="1"/>
    <col min="10" max="13" width="22.7109375" customWidth="1"/>
  </cols>
  <sheetData>
    <row r="1" spans="1:9">
      <c r="A1" s="33" t="s">
        <v>342</v>
      </c>
    </row>
    <row r="2" spans="1:9">
      <c r="A2" s="23" t="s">
        <v>343</v>
      </c>
    </row>
    <row r="4" spans="1:9">
      <c r="A4" s="13" t="s">
        <v>62</v>
      </c>
      <c r="D4" s="13" t="s">
        <v>23</v>
      </c>
      <c r="E4" s="13" t="s">
        <v>51</v>
      </c>
      <c r="F4" s="13" t="s">
        <v>55</v>
      </c>
      <c r="G4" s="13" t="s">
        <v>65</v>
      </c>
      <c r="H4" s="13" t="s">
        <v>33</v>
      </c>
      <c r="I4" s="13" t="s">
        <v>52</v>
      </c>
    </row>
    <row r="5" spans="1:9">
      <c r="A5" s="34" t="s">
        <v>15</v>
      </c>
      <c r="D5" s="34" t="s">
        <v>24</v>
      </c>
      <c r="E5" s="34" t="s">
        <v>87</v>
      </c>
      <c r="F5" s="34" t="s">
        <v>97</v>
      </c>
      <c r="G5" s="34" t="s">
        <v>125</v>
      </c>
      <c r="H5" s="34" t="s">
        <v>38</v>
      </c>
      <c r="I5" s="34" t="s">
        <v>76</v>
      </c>
    </row>
    <row r="6" spans="1:9">
      <c r="A6" s="34" t="s">
        <v>16</v>
      </c>
      <c r="D6" s="34" t="s">
        <v>25</v>
      </c>
      <c r="E6" s="34" t="s">
        <v>96</v>
      </c>
      <c r="F6" s="34" t="s">
        <v>79</v>
      </c>
      <c r="G6" s="34" t="s">
        <v>82</v>
      </c>
      <c r="H6" s="34" t="s">
        <v>39</v>
      </c>
      <c r="I6" s="34" t="s">
        <v>277</v>
      </c>
    </row>
    <row r="7" spans="1:9">
      <c r="A7" s="34" t="s">
        <v>17</v>
      </c>
      <c r="D7" s="34" t="s">
        <v>26</v>
      </c>
      <c r="E7" s="34" t="s">
        <v>75</v>
      </c>
      <c r="G7" s="34" t="s">
        <v>159</v>
      </c>
      <c r="H7" s="34" t="s">
        <v>40</v>
      </c>
    </row>
    <row r="8" spans="1:9">
      <c r="A8" s="34" t="s">
        <v>18</v>
      </c>
      <c r="D8" s="34" t="s">
        <v>27</v>
      </c>
      <c r="E8" s="34" t="s">
        <v>104</v>
      </c>
      <c r="H8" s="34" t="s">
        <v>41</v>
      </c>
    </row>
    <row r="9" spans="1:9">
      <c r="A9" s="34" t="s">
        <v>19</v>
      </c>
      <c r="D9" s="34" t="s">
        <v>28</v>
      </c>
      <c r="H9" s="34" t="s">
        <v>42</v>
      </c>
    </row>
    <row r="10" spans="1:9">
      <c r="A10" s="34" t="s">
        <v>20</v>
      </c>
      <c r="D10" s="34" t="s">
        <v>29</v>
      </c>
      <c r="H10" s="34" t="s">
        <v>43</v>
      </c>
    </row>
    <row r="13" spans="1:9">
      <c r="A13" s="12" t="s">
        <v>344</v>
      </c>
      <c r="B13" s="12"/>
      <c r="C13" s="12"/>
    </row>
    <row r="14" spans="1:9">
      <c r="A14" s="13" t="s">
        <v>345</v>
      </c>
      <c r="B14" s="13" t="s">
        <v>346</v>
      </c>
      <c r="C14" s="13" t="s">
        <v>347</v>
      </c>
    </row>
    <row r="15" spans="1:9">
      <c r="A15" s="14" t="s">
        <v>348</v>
      </c>
      <c r="B15" s="35">
        <v>30</v>
      </c>
      <c r="C15" s="14" t="s">
        <v>349</v>
      </c>
    </row>
    <row r="16" spans="1:9">
      <c r="A16" s="14" t="s">
        <v>350</v>
      </c>
      <c r="B16" s="35">
        <v>5000</v>
      </c>
      <c r="C16" s="14" t="s">
        <v>351</v>
      </c>
    </row>
    <row r="17" spans="1:5">
      <c r="A17" s="14" t="s">
        <v>352</v>
      </c>
      <c r="B17" s="35">
        <v>25000</v>
      </c>
      <c r="C17" s="14" t="s">
        <v>353</v>
      </c>
    </row>
    <row r="18" spans="1:5">
      <c r="A18" s="14" t="s">
        <v>354</v>
      </c>
      <c r="B18" s="36">
        <v>0.6</v>
      </c>
      <c r="C18" s="14" t="s">
        <v>355</v>
      </c>
    </row>
    <row r="21" spans="1:5">
      <c r="A21" s="12" t="s">
        <v>356</v>
      </c>
      <c r="B21" s="12"/>
      <c r="D21" s="12" t="s">
        <v>357</v>
      </c>
      <c r="E21" s="12"/>
    </row>
    <row r="22" spans="1:5">
      <c r="A22" s="13" t="s">
        <v>23</v>
      </c>
      <c r="B22" s="13" t="s">
        <v>358</v>
      </c>
      <c r="D22" s="13" t="s">
        <v>51</v>
      </c>
      <c r="E22" s="13" t="s">
        <v>359</v>
      </c>
    </row>
    <row r="23" spans="1:5">
      <c r="A23" s="14" t="s">
        <v>24</v>
      </c>
      <c r="B23" s="37">
        <v>0.55000000000000004</v>
      </c>
      <c r="D23" s="14" t="s">
        <v>87</v>
      </c>
      <c r="E23" s="37">
        <v>0.8</v>
      </c>
    </row>
    <row r="24" spans="1:5">
      <c r="A24" s="14" t="s">
        <v>25</v>
      </c>
      <c r="B24" s="37">
        <v>0.65</v>
      </c>
      <c r="D24" s="14" t="s">
        <v>96</v>
      </c>
      <c r="E24" s="37">
        <v>0.9</v>
      </c>
    </row>
    <row r="25" spans="1:5">
      <c r="A25" s="14" t="s">
        <v>26</v>
      </c>
      <c r="B25" s="37">
        <v>0.7</v>
      </c>
      <c r="D25" s="14" t="s">
        <v>75</v>
      </c>
      <c r="E25" s="37">
        <v>0.85</v>
      </c>
    </row>
    <row r="26" spans="1:5">
      <c r="A26" s="14" t="s">
        <v>27</v>
      </c>
      <c r="B26" s="37">
        <v>0.85</v>
      </c>
      <c r="D26" s="14" t="s">
        <v>104</v>
      </c>
      <c r="E26" s="37">
        <v>0.7</v>
      </c>
    </row>
    <row r="27" spans="1:5">
      <c r="A27" s="14" t="s">
        <v>28</v>
      </c>
      <c r="B27" s="37">
        <v>0.75</v>
      </c>
    </row>
    <row r="28" spans="1:5">
      <c r="A28" s="14" t="s">
        <v>29</v>
      </c>
      <c r="B28" s="37">
        <v>0.7</v>
      </c>
    </row>
    <row r="31" spans="1:5">
      <c r="A31" s="23" t="s">
        <v>360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3"/>
  <sheetViews>
    <sheetView showGridLines="0"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21.7109375" customWidth="1"/>
    <col min="2" max="2" width="28.7109375" customWidth="1"/>
    <col min="3" max="3" width="18.7109375" customWidth="1"/>
    <col min="4" max="4" width="70.7109375" customWidth="1"/>
    <col min="5" max="5" width="20.7109375" customWidth="1"/>
  </cols>
  <sheetData>
    <row r="1" spans="1:5">
      <c r="A1" s="33" t="s">
        <v>361</v>
      </c>
    </row>
    <row r="2" spans="1:5">
      <c r="A2" s="23" t="s">
        <v>362</v>
      </c>
    </row>
    <row r="3" spans="1:5">
      <c r="A3" s="13" t="s">
        <v>363</v>
      </c>
      <c r="B3" s="13" t="s">
        <v>364</v>
      </c>
      <c r="C3" s="13" t="s">
        <v>365</v>
      </c>
      <c r="D3" s="13" t="s">
        <v>366</v>
      </c>
      <c r="E3" s="13" t="s">
        <v>367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59"/>
  <sheetViews>
    <sheetView zoomScale="90" zoomScaleNormal="90" workbookViewId="0">
      <pane xSplit="1" ySplit="1" topLeftCell="B2" activePane="bottomRight" state="frozen"/>
      <selection pane="bottomRight"/>
      <selection pane="bottomLeft" activeCell="A2" sqref="A2"/>
      <selection pane="topRight" activeCell="B1" sqref="B1"/>
    </sheetView>
  </sheetViews>
  <sheetFormatPr defaultRowHeight="15"/>
  <cols>
    <col min="1" max="1" width="16.7109375" style="14" customWidth="1"/>
    <col min="2" max="3" width="12.7109375" style="24" customWidth="1"/>
    <col min="4" max="4" width="12.7109375" style="14" customWidth="1"/>
    <col min="5" max="5" width="18.7109375" style="14" customWidth="1"/>
    <col min="6" max="6" width="12.7109375" style="24" customWidth="1"/>
    <col min="7" max="7" width="13.7109375" style="14" customWidth="1"/>
    <col min="8" max="8" width="9.7109375" style="25" customWidth="1"/>
    <col min="9" max="9" width="11.7109375" style="25" customWidth="1"/>
    <col min="10" max="10" width="29.7109375" style="14" customWidth="1"/>
    <col min="11" max="11" width="12.7109375" style="26" customWidth="1"/>
    <col min="12" max="12" width="14.7109375" style="25" customWidth="1"/>
    <col min="13" max="13" width="12.7109375" style="25" customWidth="1"/>
    <col min="14" max="14" width="11.7109375" style="25" customWidth="1"/>
    <col min="15" max="15" width="11.7109375" style="26" customWidth="1"/>
    <col min="16" max="18" width="13.7109375" style="16" customWidth="1"/>
    <col min="19" max="19" width="12.7109375" style="16" customWidth="1"/>
    <col min="20" max="20" width="12.7109375" style="25" customWidth="1"/>
    <col min="21" max="21" width="40.7109375" style="14" customWidth="1"/>
    <col min="22" max="22" width="19.7109375" style="14" customWidth="1"/>
    <col min="23" max="23" width="9.7109375" style="25" customWidth="1"/>
    <col min="24" max="24" width="9.7109375" style="27" customWidth="1"/>
    <col min="25" max="25" width="12.7109375" style="24" customWidth="1"/>
    <col min="26" max="26" width="11.7109375" style="25" customWidth="1"/>
    <col min="27" max="27" width="34.7109375" style="14" customWidth="1"/>
    <col min="28" max="28" width="48.7109375" style="14" customWidth="1"/>
  </cols>
  <sheetData>
    <row r="1" spans="1:28" ht="32.1" customHeight="1">
      <c r="A1" s="28" t="s">
        <v>44</v>
      </c>
      <c r="B1" s="28" t="s">
        <v>45</v>
      </c>
      <c r="C1" s="28" t="s">
        <v>46</v>
      </c>
      <c r="D1" s="28" t="s">
        <v>47</v>
      </c>
      <c r="E1" s="28" t="s">
        <v>48</v>
      </c>
      <c r="F1" s="28" t="s">
        <v>49</v>
      </c>
      <c r="G1" s="28" t="s">
        <v>50</v>
      </c>
      <c r="H1" s="28" t="s">
        <v>51</v>
      </c>
      <c r="I1" s="28" t="s">
        <v>52</v>
      </c>
      <c r="J1" s="28" t="s">
        <v>53</v>
      </c>
      <c r="K1" s="28" t="s">
        <v>54</v>
      </c>
      <c r="L1" s="28" t="s">
        <v>55</v>
      </c>
      <c r="M1" s="28" t="s">
        <v>23</v>
      </c>
      <c r="N1" s="28" t="s">
        <v>56</v>
      </c>
      <c r="O1" s="28" t="s">
        <v>57</v>
      </c>
      <c r="P1" s="28" t="s">
        <v>58</v>
      </c>
      <c r="Q1" s="28" t="s">
        <v>59</v>
      </c>
      <c r="R1" s="28" t="s">
        <v>60</v>
      </c>
      <c r="S1" s="28" t="s">
        <v>61</v>
      </c>
      <c r="T1" s="28" t="s">
        <v>62</v>
      </c>
      <c r="U1" s="28" t="s">
        <v>63</v>
      </c>
      <c r="V1" s="28" t="s">
        <v>64</v>
      </c>
      <c r="W1" s="28" t="s">
        <v>65</v>
      </c>
      <c r="X1" s="28" t="s">
        <v>66</v>
      </c>
      <c r="Y1" s="28" t="s">
        <v>67</v>
      </c>
      <c r="Z1" s="28" t="s">
        <v>68</v>
      </c>
      <c r="AA1" s="28" t="s">
        <v>69</v>
      </c>
      <c r="AB1" s="28" t="s">
        <v>70</v>
      </c>
    </row>
    <row r="2" spans="1:28">
      <c r="A2" s="14" t="s">
        <v>71</v>
      </c>
      <c r="B2" s="24">
        <v>46194</v>
      </c>
      <c r="C2" s="24">
        <v>46175</v>
      </c>
      <c r="D2" s="14" t="s">
        <v>72</v>
      </c>
      <c r="E2" s="14" t="s">
        <v>73</v>
      </c>
      <c r="F2" s="24">
        <v>21159</v>
      </c>
      <c r="G2" s="14" t="s">
        <v>74</v>
      </c>
      <c r="H2" s="25" t="s">
        <v>75</v>
      </c>
      <c r="I2" s="25" t="s">
        <v>76</v>
      </c>
      <c r="J2" s="14" t="s">
        <v>77</v>
      </c>
      <c r="K2" s="26" t="s">
        <v>78</v>
      </c>
      <c r="L2" s="25" t="s">
        <v>79</v>
      </c>
      <c r="M2" s="25" t="s">
        <v>26</v>
      </c>
      <c r="N2" s="25" t="s">
        <v>80</v>
      </c>
      <c r="O2" s="26" t="s">
        <v>81</v>
      </c>
      <c r="P2" s="16">
        <v>200.73</v>
      </c>
      <c r="Q2" s="16">
        <v>84.31</v>
      </c>
      <c r="R2" s="16">
        <v>71.66</v>
      </c>
      <c r="S2" s="16">
        <f>IF(Q2="","",ROUND(Q2-R2,2))</f>
        <v>12.65</v>
      </c>
      <c r="T2" s="25" t="s">
        <v>18</v>
      </c>
      <c r="V2" s="14" t="s">
        <v>40</v>
      </c>
      <c r="W2" s="25" t="s">
        <v>82</v>
      </c>
      <c r="X2" s="27">
        <f ca="1">IF(A2="","",IF(Y2="",TODAY()-B2,Y2-B2))</f>
        <v>33</v>
      </c>
      <c r="Y2" s="24">
        <v>46227</v>
      </c>
      <c r="Z2" s="25" t="str">
        <f ca="1">IF(X2="","",IF(X2&gt;SLA_Days,"Breached",IF(X2&gt;=SLA_Days-5,"At Risk","Within SLA")))</f>
        <v>Breached</v>
      </c>
    </row>
    <row r="3" spans="1:28">
      <c r="A3" s="14" t="s">
        <v>83</v>
      </c>
      <c r="B3" s="24">
        <v>46199</v>
      </c>
      <c r="C3" s="24">
        <v>46195</v>
      </c>
      <c r="D3" s="14" t="s">
        <v>84</v>
      </c>
      <c r="E3" s="14" t="s">
        <v>85</v>
      </c>
      <c r="F3" s="24">
        <v>30414</v>
      </c>
      <c r="G3" s="14" t="s">
        <v>86</v>
      </c>
      <c r="H3" s="25" t="s">
        <v>87</v>
      </c>
      <c r="I3" s="25" t="s">
        <v>76</v>
      </c>
      <c r="J3" s="14" t="s">
        <v>88</v>
      </c>
      <c r="K3" s="26" t="s">
        <v>89</v>
      </c>
      <c r="L3" s="25" t="s">
        <v>79</v>
      </c>
      <c r="M3" s="25" t="s">
        <v>27</v>
      </c>
      <c r="N3" s="25" t="s">
        <v>90</v>
      </c>
      <c r="O3" s="26" t="s">
        <v>91</v>
      </c>
      <c r="P3" s="16">
        <v>5399.08</v>
      </c>
      <c r="Q3" s="16">
        <v>2753.53</v>
      </c>
      <c r="R3" s="16">
        <v>2202.8200000000002</v>
      </c>
      <c r="S3" s="16">
        <f>IF(Q3="","",ROUND(Q3-R3,2))</f>
        <v>550.71</v>
      </c>
      <c r="T3" s="25" t="s">
        <v>19</v>
      </c>
      <c r="V3" s="14" t="s">
        <v>38</v>
      </c>
      <c r="W3" s="25" t="s">
        <v>82</v>
      </c>
      <c r="X3" s="27">
        <f ca="1">IF(A3="","",IF(Y3="",TODAY()-B3,Y3-B3))</f>
        <v>20</v>
      </c>
      <c r="Y3" s="24">
        <v>46219</v>
      </c>
      <c r="Z3" s="25" t="str">
        <f ca="1">IF(X3="","",IF(X3&gt;SLA_Days,"Breached",IF(X3&gt;=SLA_Days-5,"At Risk","Within SLA")))</f>
        <v>Within SLA</v>
      </c>
    </row>
    <row r="4" spans="1:28">
      <c r="A4" s="14" t="s">
        <v>92</v>
      </c>
      <c r="B4" s="24">
        <v>46199</v>
      </c>
      <c r="C4" s="24">
        <v>46181</v>
      </c>
      <c r="D4" s="14" t="s">
        <v>93</v>
      </c>
      <c r="E4" s="14" t="s">
        <v>94</v>
      </c>
      <c r="F4" s="24">
        <v>41189</v>
      </c>
      <c r="G4" s="14" t="s">
        <v>95</v>
      </c>
      <c r="H4" s="25" t="s">
        <v>96</v>
      </c>
      <c r="I4" s="25" t="s">
        <v>76</v>
      </c>
      <c r="J4" s="14" t="s">
        <v>77</v>
      </c>
      <c r="K4" s="26" t="s">
        <v>78</v>
      </c>
      <c r="L4" s="25" t="s">
        <v>97</v>
      </c>
      <c r="M4" s="25" t="s">
        <v>26</v>
      </c>
      <c r="N4" s="25" t="s">
        <v>98</v>
      </c>
      <c r="O4" s="26" t="s">
        <v>99</v>
      </c>
      <c r="P4" s="16">
        <v>347.77</v>
      </c>
      <c r="Q4" s="16">
        <v>243.44</v>
      </c>
      <c r="R4" s="16">
        <v>219.1</v>
      </c>
      <c r="S4" s="16">
        <f>IF(Q4="","",ROUND(Q4-R4,2))</f>
        <v>24.34</v>
      </c>
      <c r="T4" s="25" t="s">
        <v>19</v>
      </c>
      <c r="V4" s="14" t="s">
        <v>41</v>
      </c>
      <c r="W4" s="25" t="s">
        <v>82</v>
      </c>
      <c r="X4" s="27">
        <f ca="1">IF(A4="","",IF(Y4="",TODAY()-B4,Y4-B4))</f>
        <v>33</v>
      </c>
      <c r="Y4" s="24">
        <v>46232</v>
      </c>
      <c r="Z4" s="25" t="str">
        <f ca="1">IF(X4="","",IF(X4&gt;SLA_Days,"Breached",IF(X4&gt;=SLA_Days-5,"At Risk","Within SLA")))</f>
        <v>Breached</v>
      </c>
    </row>
    <row r="5" spans="1:28">
      <c r="A5" s="14" t="s">
        <v>100</v>
      </c>
      <c r="B5" s="24">
        <v>46200</v>
      </c>
      <c r="C5" s="24">
        <v>46188</v>
      </c>
      <c r="D5" s="14" t="s">
        <v>101</v>
      </c>
      <c r="E5" s="14" t="s">
        <v>102</v>
      </c>
      <c r="F5" s="24">
        <v>30372</v>
      </c>
      <c r="G5" s="14" t="s">
        <v>103</v>
      </c>
      <c r="H5" s="25" t="s">
        <v>104</v>
      </c>
      <c r="I5" s="25" t="s">
        <v>76</v>
      </c>
      <c r="J5" s="14" t="s">
        <v>88</v>
      </c>
      <c r="K5" s="26" t="s">
        <v>89</v>
      </c>
      <c r="L5" s="25" t="s">
        <v>79</v>
      </c>
      <c r="M5" s="25" t="s">
        <v>27</v>
      </c>
      <c r="N5" s="25" t="s">
        <v>105</v>
      </c>
      <c r="O5" s="26" t="s">
        <v>106</v>
      </c>
      <c r="P5" s="16">
        <v>7266.32</v>
      </c>
      <c r="Q5" s="16">
        <v>0</v>
      </c>
      <c r="R5" s="16">
        <v>0</v>
      </c>
      <c r="S5" s="16">
        <f>IF(Q5="","",ROUND(Q5-R5,2))</f>
        <v>0</v>
      </c>
      <c r="T5" s="25" t="s">
        <v>20</v>
      </c>
      <c r="U5" s="14" t="s">
        <v>107</v>
      </c>
      <c r="V5" s="14" t="s">
        <v>40</v>
      </c>
      <c r="W5" s="25" t="s">
        <v>82</v>
      </c>
      <c r="X5" s="27">
        <f ca="1">IF(A5="","",IF(Y5="",TODAY()-B5,Y5-B5))</f>
        <v>23</v>
      </c>
      <c r="Y5" s="24">
        <v>46223</v>
      </c>
      <c r="Z5" s="25" t="str">
        <f ca="1">IF(X5="","",IF(X5&gt;SLA_Days,"Breached",IF(X5&gt;=SLA_Days-5,"At Risk","Within SLA")))</f>
        <v>Within SLA</v>
      </c>
    </row>
    <row r="6" spans="1:28">
      <c r="A6" s="14" t="s">
        <v>108</v>
      </c>
      <c r="B6" s="24">
        <v>46208</v>
      </c>
      <c r="C6" s="24">
        <v>46199</v>
      </c>
      <c r="D6" s="14" t="s">
        <v>109</v>
      </c>
      <c r="E6" s="14" t="s">
        <v>110</v>
      </c>
      <c r="F6" s="24">
        <v>28981</v>
      </c>
      <c r="G6" s="14" t="s">
        <v>111</v>
      </c>
      <c r="H6" s="25" t="s">
        <v>87</v>
      </c>
      <c r="I6" s="25" t="s">
        <v>76</v>
      </c>
      <c r="J6" s="14" t="s">
        <v>112</v>
      </c>
      <c r="K6" s="26" t="s">
        <v>113</v>
      </c>
      <c r="L6" s="25" t="s">
        <v>97</v>
      </c>
      <c r="M6" s="25" t="s">
        <v>28</v>
      </c>
      <c r="N6" s="25" t="s">
        <v>114</v>
      </c>
      <c r="O6" s="26" t="s">
        <v>115</v>
      </c>
      <c r="P6" s="16">
        <v>79.98</v>
      </c>
      <c r="Q6" s="16">
        <v>0</v>
      </c>
      <c r="R6" s="16">
        <v>0</v>
      </c>
      <c r="S6" s="16">
        <f>IF(Q6="","",ROUND(Q6-R6,2))</f>
        <v>0</v>
      </c>
      <c r="T6" s="25" t="s">
        <v>20</v>
      </c>
      <c r="U6" s="14" t="s">
        <v>116</v>
      </c>
      <c r="V6" s="14" t="s">
        <v>40</v>
      </c>
      <c r="W6" s="25" t="s">
        <v>82</v>
      </c>
      <c r="X6" s="27">
        <f ca="1">IF(A6="","",IF(Y6="",TODAY()-B6,Y6-B6))</f>
        <v>12</v>
      </c>
      <c r="Y6" s="24">
        <v>46220</v>
      </c>
      <c r="Z6" s="25" t="str">
        <f ca="1">IF(X6="","",IF(X6&gt;SLA_Days,"Breached",IF(X6&gt;=SLA_Days-5,"At Risk","Within SLA")))</f>
        <v>Within SLA</v>
      </c>
    </row>
    <row r="7" spans="1:28">
      <c r="A7" s="14" t="s">
        <v>117</v>
      </c>
      <c r="B7" s="24">
        <v>46213</v>
      </c>
      <c r="C7" s="24">
        <v>46206</v>
      </c>
      <c r="D7" s="14" t="s">
        <v>118</v>
      </c>
      <c r="E7" s="14" t="s">
        <v>119</v>
      </c>
      <c r="F7" s="24">
        <v>42515</v>
      </c>
      <c r="G7" s="14" t="s">
        <v>120</v>
      </c>
      <c r="H7" s="25" t="s">
        <v>75</v>
      </c>
      <c r="I7" s="25" t="s">
        <v>76</v>
      </c>
      <c r="J7" s="14" t="s">
        <v>121</v>
      </c>
      <c r="K7" s="26" t="s">
        <v>122</v>
      </c>
      <c r="L7" s="25" t="s">
        <v>97</v>
      </c>
      <c r="M7" s="25" t="s">
        <v>24</v>
      </c>
      <c r="N7" s="25" t="s">
        <v>123</v>
      </c>
      <c r="O7" s="26" t="s">
        <v>124</v>
      </c>
      <c r="P7" s="16">
        <v>26898.41</v>
      </c>
      <c r="Q7" s="16">
        <v>14794.13</v>
      </c>
      <c r="R7" s="16">
        <v>12575.01</v>
      </c>
      <c r="S7" s="16">
        <f>IF(Q7="","",ROUND(Q7-R7,2))</f>
        <v>2219.12</v>
      </c>
      <c r="T7" s="25" t="s">
        <v>19</v>
      </c>
      <c r="V7" s="14" t="s">
        <v>40</v>
      </c>
      <c r="W7" s="25" t="s">
        <v>125</v>
      </c>
      <c r="X7" s="27">
        <f ca="1">IF(A7="","",IF(Y7="",TODAY()-B7,Y7-B7))</f>
        <v>15</v>
      </c>
      <c r="Y7" s="24">
        <v>46228</v>
      </c>
      <c r="Z7" s="25" t="str">
        <f ca="1">IF(X7="","",IF(X7&gt;SLA_Days,"Breached",IF(X7&gt;=SLA_Days-5,"At Risk","Within SLA")))</f>
        <v>Within SLA</v>
      </c>
    </row>
    <row r="8" spans="1:28">
      <c r="A8" s="14" t="s">
        <v>126</v>
      </c>
      <c r="B8" s="24">
        <v>46217</v>
      </c>
      <c r="C8" s="24">
        <v>46204</v>
      </c>
      <c r="D8" s="14" t="s">
        <v>127</v>
      </c>
      <c r="E8" s="14" t="s">
        <v>128</v>
      </c>
      <c r="F8" s="24">
        <v>43092</v>
      </c>
      <c r="G8" s="14" t="s">
        <v>129</v>
      </c>
      <c r="H8" s="25" t="s">
        <v>75</v>
      </c>
      <c r="I8" s="25" t="s">
        <v>76</v>
      </c>
      <c r="J8" s="14" t="s">
        <v>112</v>
      </c>
      <c r="K8" s="26" t="s">
        <v>113</v>
      </c>
      <c r="L8" s="25" t="s">
        <v>97</v>
      </c>
      <c r="M8" s="25" t="s">
        <v>28</v>
      </c>
      <c r="N8" s="25" t="s">
        <v>130</v>
      </c>
      <c r="O8" s="26" t="s">
        <v>131</v>
      </c>
      <c r="P8" s="16">
        <v>246.95</v>
      </c>
      <c r="Q8" s="16">
        <v>185.21</v>
      </c>
      <c r="R8" s="16">
        <v>157.43</v>
      </c>
      <c r="S8" s="16">
        <f>IF(Q8="","",ROUND(Q8-R8,2))</f>
        <v>27.78</v>
      </c>
      <c r="T8" s="25" t="s">
        <v>19</v>
      </c>
      <c r="V8" s="14" t="s">
        <v>38</v>
      </c>
      <c r="W8" s="25" t="s">
        <v>82</v>
      </c>
      <c r="X8" s="27">
        <f ca="1">IF(A8="","",IF(Y8="",TODAY()-B8,Y8-B8))</f>
        <v>6</v>
      </c>
      <c r="Y8" s="24">
        <v>46223</v>
      </c>
      <c r="Z8" s="25" t="str">
        <f ca="1">IF(X8="","",IF(X8&gt;SLA_Days,"Breached",IF(X8&gt;=SLA_Days-5,"At Risk","Within SLA")))</f>
        <v>Within SLA</v>
      </c>
    </row>
    <row r="9" spans="1:28">
      <c r="A9" s="14" t="s">
        <v>132</v>
      </c>
      <c r="B9" s="24">
        <v>46218</v>
      </c>
      <c r="C9" s="24">
        <v>46212</v>
      </c>
      <c r="D9" s="14" t="s">
        <v>133</v>
      </c>
      <c r="E9" s="14" t="s">
        <v>134</v>
      </c>
      <c r="F9" s="24">
        <v>29698</v>
      </c>
      <c r="G9" s="14" t="s">
        <v>135</v>
      </c>
      <c r="H9" s="25" t="s">
        <v>75</v>
      </c>
      <c r="I9" s="25" t="s">
        <v>76</v>
      </c>
      <c r="J9" s="14" t="s">
        <v>136</v>
      </c>
      <c r="K9" s="26" t="s">
        <v>137</v>
      </c>
      <c r="L9" s="25" t="s">
        <v>97</v>
      </c>
      <c r="M9" s="25" t="s">
        <v>26</v>
      </c>
      <c r="N9" s="25" t="s">
        <v>98</v>
      </c>
      <c r="O9" s="26" t="s">
        <v>99</v>
      </c>
      <c r="P9" s="16">
        <v>310.75</v>
      </c>
      <c r="Q9" s="16">
        <v>217.52</v>
      </c>
      <c r="R9" s="16">
        <v>184.89</v>
      </c>
      <c r="S9" s="16">
        <f>IF(Q9="","",ROUND(Q9-R9,2))</f>
        <v>32.630000000000003</v>
      </c>
      <c r="T9" s="25" t="s">
        <v>18</v>
      </c>
      <c r="V9" s="14" t="s">
        <v>40</v>
      </c>
      <c r="W9" s="25" t="s">
        <v>125</v>
      </c>
      <c r="X9" s="27">
        <f ca="1">IF(A9="","",IF(Y9="",TODAY()-B9,Y9-B9))</f>
        <v>8</v>
      </c>
      <c r="Y9" s="24">
        <v>46226</v>
      </c>
      <c r="Z9" s="25" t="str">
        <f ca="1">IF(X9="","",IF(X9&gt;SLA_Days,"Breached",IF(X9&gt;=SLA_Days-5,"At Risk","Within SLA")))</f>
        <v>Within SLA</v>
      </c>
    </row>
    <row r="10" spans="1:28">
      <c r="A10" s="14" t="s">
        <v>138</v>
      </c>
      <c r="B10" s="24">
        <v>46219</v>
      </c>
      <c r="C10" s="24">
        <v>46199</v>
      </c>
      <c r="D10" s="14" t="s">
        <v>139</v>
      </c>
      <c r="E10" s="14" t="s">
        <v>140</v>
      </c>
      <c r="F10" s="24">
        <v>33964</v>
      </c>
      <c r="G10" s="14" t="s">
        <v>141</v>
      </c>
      <c r="H10" s="25" t="s">
        <v>87</v>
      </c>
      <c r="I10" s="25" t="s">
        <v>76</v>
      </c>
      <c r="J10" s="14" t="s">
        <v>142</v>
      </c>
      <c r="K10" s="26" t="s">
        <v>143</v>
      </c>
      <c r="L10" s="25" t="s">
        <v>79</v>
      </c>
      <c r="M10" s="25" t="s">
        <v>25</v>
      </c>
      <c r="N10" s="25" t="s">
        <v>144</v>
      </c>
      <c r="O10" s="26" t="s">
        <v>81</v>
      </c>
      <c r="P10" s="16">
        <v>218.51</v>
      </c>
      <c r="Q10" s="16">
        <v>0</v>
      </c>
      <c r="R10" s="16">
        <v>0</v>
      </c>
      <c r="S10" s="16">
        <f>IF(Q10="","",ROUND(Q10-R10,2))</f>
        <v>0</v>
      </c>
      <c r="T10" s="25" t="s">
        <v>20</v>
      </c>
      <c r="V10" s="14" t="s">
        <v>41</v>
      </c>
      <c r="W10" s="25" t="s">
        <v>82</v>
      </c>
      <c r="X10" s="27">
        <f ca="1">IF(A10="","",IF(Y10="",TODAY()-B10,Y10-B10))</f>
        <v>21</v>
      </c>
      <c r="Y10" s="24">
        <v>46240</v>
      </c>
      <c r="Z10" s="25" t="str">
        <f ca="1">IF(X10="","",IF(X10&gt;SLA_Days,"Breached",IF(X10&gt;=SLA_Days-5,"At Risk","Within SLA")))</f>
        <v>Within SLA</v>
      </c>
    </row>
    <row r="11" spans="1:28">
      <c r="A11" s="14" t="s">
        <v>145</v>
      </c>
      <c r="B11" s="24">
        <v>46222</v>
      </c>
      <c r="C11" s="24">
        <v>46202</v>
      </c>
      <c r="D11" s="14" t="s">
        <v>146</v>
      </c>
      <c r="E11" s="14" t="s">
        <v>147</v>
      </c>
      <c r="F11" s="24">
        <v>38964</v>
      </c>
      <c r="G11" s="14" t="s">
        <v>148</v>
      </c>
      <c r="H11" s="25" t="s">
        <v>75</v>
      </c>
      <c r="I11" s="25" t="s">
        <v>76</v>
      </c>
      <c r="J11" s="14" t="s">
        <v>88</v>
      </c>
      <c r="K11" s="26" t="s">
        <v>89</v>
      </c>
      <c r="L11" s="25" t="s">
        <v>79</v>
      </c>
      <c r="M11" s="25" t="s">
        <v>27</v>
      </c>
      <c r="N11" s="25" t="s">
        <v>90</v>
      </c>
      <c r="O11" s="26" t="s">
        <v>91</v>
      </c>
      <c r="P11" s="16">
        <v>4523.03</v>
      </c>
      <c r="Q11" s="16">
        <v>2306.75</v>
      </c>
      <c r="R11" s="16">
        <v>1960.74</v>
      </c>
      <c r="S11" s="16">
        <f>IF(Q11="","",ROUND(Q11-R11,2))</f>
        <v>346.01</v>
      </c>
      <c r="T11" s="25" t="s">
        <v>19</v>
      </c>
      <c r="V11" s="14" t="s">
        <v>39</v>
      </c>
      <c r="W11" s="25" t="s">
        <v>82</v>
      </c>
      <c r="X11" s="27">
        <f ca="1">IF(A11="","",IF(Y11="",TODAY()-B11,Y11-B11))</f>
        <v>6</v>
      </c>
      <c r="Y11" s="24">
        <v>46228</v>
      </c>
      <c r="Z11" s="25" t="str">
        <f ca="1">IF(X11="","",IF(X11&gt;SLA_Days,"Breached",IF(X11&gt;=SLA_Days-5,"At Risk","Within SLA")))</f>
        <v>Within SLA</v>
      </c>
    </row>
    <row r="12" spans="1:28">
      <c r="A12" s="14" t="s">
        <v>149</v>
      </c>
      <c r="B12" s="24">
        <v>46223</v>
      </c>
      <c r="C12" s="24">
        <v>46215</v>
      </c>
      <c r="D12" s="14" t="s">
        <v>150</v>
      </c>
      <c r="E12" s="14" t="s">
        <v>151</v>
      </c>
      <c r="F12" s="24">
        <v>39048</v>
      </c>
      <c r="G12" s="14" t="s">
        <v>152</v>
      </c>
      <c r="H12" s="25" t="s">
        <v>75</v>
      </c>
      <c r="I12" s="25" t="s">
        <v>76</v>
      </c>
      <c r="J12" s="14" t="s">
        <v>112</v>
      </c>
      <c r="K12" s="26" t="s">
        <v>113</v>
      </c>
      <c r="L12" s="25" t="s">
        <v>97</v>
      </c>
      <c r="M12" s="25" t="s">
        <v>28</v>
      </c>
      <c r="N12" s="25" t="s">
        <v>153</v>
      </c>
      <c r="O12" s="26" t="s">
        <v>154</v>
      </c>
      <c r="P12" s="16">
        <v>156.91</v>
      </c>
      <c r="Q12" s="16">
        <v>117.68</v>
      </c>
      <c r="R12" s="16">
        <v>100.03</v>
      </c>
      <c r="S12" s="16">
        <f>IF(Q12="","",ROUND(Q12-R12,2))</f>
        <v>17.649999999999999</v>
      </c>
      <c r="T12" s="25" t="s">
        <v>19</v>
      </c>
      <c r="V12" s="14" t="s">
        <v>38</v>
      </c>
      <c r="W12" s="25" t="s">
        <v>82</v>
      </c>
      <c r="X12" s="27">
        <f ca="1">IF(A12="","",IF(Y12="",TODAY()-B12,Y12-B12))</f>
        <v>9</v>
      </c>
      <c r="Y12" s="24">
        <v>46232</v>
      </c>
      <c r="Z12" s="25" t="str">
        <f ca="1">IF(X12="","",IF(X12&gt;SLA_Days,"Breached",IF(X12&gt;=SLA_Days-5,"At Risk","Within SLA")))</f>
        <v>Within SLA</v>
      </c>
    </row>
    <row r="13" spans="1:28">
      <c r="A13" s="14" t="s">
        <v>155</v>
      </c>
      <c r="B13" s="24">
        <v>46223</v>
      </c>
      <c r="C13" s="24">
        <v>46208</v>
      </c>
      <c r="D13" s="14" t="s">
        <v>156</v>
      </c>
      <c r="E13" s="14" t="s">
        <v>157</v>
      </c>
      <c r="F13" s="24">
        <v>39636</v>
      </c>
      <c r="G13" s="14" t="s">
        <v>158</v>
      </c>
      <c r="H13" s="25" t="s">
        <v>104</v>
      </c>
      <c r="I13" s="25" t="s">
        <v>76</v>
      </c>
      <c r="J13" s="14" t="s">
        <v>112</v>
      </c>
      <c r="K13" s="26" t="s">
        <v>113</v>
      </c>
      <c r="L13" s="25" t="s">
        <v>97</v>
      </c>
      <c r="M13" s="25" t="s">
        <v>28</v>
      </c>
      <c r="N13" s="25" t="s">
        <v>130</v>
      </c>
      <c r="O13" s="26" t="s">
        <v>131</v>
      </c>
      <c r="P13" s="16">
        <v>243.44</v>
      </c>
      <c r="Q13" s="16">
        <v>182.58</v>
      </c>
      <c r="R13" s="16">
        <v>209.97</v>
      </c>
      <c r="S13" s="16">
        <f>IF(Q13="","",ROUND(Q13-R13,2))</f>
        <v>-27.39</v>
      </c>
      <c r="T13" s="25" t="s">
        <v>19</v>
      </c>
      <c r="V13" s="14" t="s">
        <v>38</v>
      </c>
      <c r="W13" s="25" t="s">
        <v>159</v>
      </c>
      <c r="X13" s="27">
        <f ca="1">IF(A13="","",IF(Y13="",TODAY()-B13,Y13-B13))</f>
        <v>24</v>
      </c>
      <c r="Y13" s="24">
        <v>46247</v>
      </c>
      <c r="Z13" s="25" t="str">
        <f ca="1">IF(X13="","",IF(X13&gt;SLA_Days,"Breached",IF(X13&gt;=SLA_Days-5,"At Risk","Within SLA")))</f>
        <v>Within SLA</v>
      </c>
    </row>
    <row r="14" spans="1:28">
      <c r="A14" s="14" t="s">
        <v>160</v>
      </c>
      <c r="B14" s="24">
        <v>46229</v>
      </c>
      <c r="C14" s="24">
        <v>46220</v>
      </c>
      <c r="D14" s="14" t="s">
        <v>161</v>
      </c>
      <c r="E14" s="14" t="s">
        <v>162</v>
      </c>
      <c r="F14" s="24">
        <v>21322</v>
      </c>
      <c r="G14" s="14" t="s">
        <v>163</v>
      </c>
      <c r="H14" s="25" t="s">
        <v>96</v>
      </c>
      <c r="I14" s="25" t="s">
        <v>76</v>
      </c>
      <c r="J14" s="14" t="s">
        <v>164</v>
      </c>
      <c r="K14" s="26" t="s">
        <v>165</v>
      </c>
      <c r="L14" s="25" t="s">
        <v>79</v>
      </c>
      <c r="M14" s="25" t="s">
        <v>25</v>
      </c>
      <c r="N14" s="25" t="s">
        <v>166</v>
      </c>
      <c r="O14" s="26" t="s">
        <v>167</v>
      </c>
      <c r="P14" s="16">
        <v>7910.19</v>
      </c>
      <c r="Q14" s="16">
        <v>0</v>
      </c>
      <c r="R14" s="16">
        <v>0</v>
      </c>
      <c r="S14" s="16">
        <f>IF(Q14="","",ROUND(Q14-R14,2))</f>
        <v>0</v>
      </c>
      <c r="T14" s="25" t="s">
        <v>20</v>
      </c>
      <c r="U14" s="14" t="s">
        <v>107</v>
      </c>
      <c r="V14" s="14" t="s">
        <v>38</v>
      </c>
      <c r="W14" s="25" t="s">
        <v>82</v>
      </c>
      <c r="X14" s="27">
        <f ca="1">IF(A14="","",IF(Y14="",TODAY()-B14,Y14-B14))</f>
        <v>20</v>
      </c>
      <c r="Y14" s="24">
        <v>46249</v>
      </c>
      <c r="Z14" s="25" t="str">
        <f ca="1">IF(X14="","",IF(X14&gt;SLA_Days,"Breached",IF(X14&gt;=SLA_Days-5,"At Risk","Within SLA")))</f>
        <v>Within SLA</v>
      </c>
    </row>
    <row r="15" spans="1:28">
      <c r="A15" s="14" t="s">
        <v>168</v>
      </c>
      <c r="B15" s="24">
        <v>46230</v>
      </c>
      <c r="C15" s="24">
        <v>46219</v>
      </c>
      <c r="D15" s="14" t="s">
        <v>169</v>
      </c>
      <c r="E15" s="14" t="s">
        <v>170</v>
      </c>
      <c r="F15" s="24">
        <v>25860</v>
      </c>
      <c r="G15" s="14" t="s">
        <v>171</v>
      </c>
      <c r="H15" s="25" t="s">
        <v>87</v>
      </c>
      <c r="I15" s="25" t="s">
        <v>76</v>
      </c>
      <c r="J15" s="14" t="s">
        <v>164</v>
      </c>
      <c r="K15" s="26" t="s">
        <v>165</v>
      </c>
      <c r="L15" s="25" t="s">
        <v>97</v>
      </c>
      <c r="M15" s="25" t="s">
        <v>25</v>
      </c>
      <c r="N15" s="25" t="s">
        <v>144</v>
      </c>
      <c r="O15" s="26" t="s">
        <v>81</v>
      </c>
      <c r="P15" s="16">
        <v>221.53</v>
      </c>
      <c r="Q15" s="16">
        <v>0</v>
      </c>
      <c r="R15" s="16">
        <v>0</v>
      </c>
      <c r="S15" s="16">
        <f>IF(Q15="","",ROUND(Q15-R15,2))</f>
        <v>0</v>
      </c>
      <c r="T15" s="25" t="s">
        <v>20</v>
      </c>
      <c r="U15" s="14" t="s">
        <v>172</v>
      </c>
      <c r="V15" s="14" t="s">
        <v>40</v>
      </c>
      <c r="W15" s="25" t="s">
        <v>82</v>
      </c>
      <c r="X15" s="27">
        <f ca="1">IF(A15="","",IF(Y15="",TODAY()-B15,Y15-B15))</f>
        <v>19</v>
      </c>
      <c r="Y15" s="24">
        <v>46249</v>
      </c>
      <c r="Z15" s="25" t="str">
        <f ca="1">IF(X15="","",IF(X15&gt;SLA_Days,"Breached",IF(X15&gt;=SLA_Days-5,"At Risk","Within SLA")))</f>
        <v>Within SLA</v>
      </c>
    </row>
    <row r="16" spans="1:28">
      <c r="A16" s="14" t="s">
        <v>173</v>
      </c>
      <c r="B16" s="24">
        <v>46231</v>
      </c>
      <c r="C16" s="24">
        <v>46223</v>
      </c>
      <c r="D16" s="14" t="s">
        <v>174</v>
      </c>
      <c r="E16" s="14" t="s">
        <v>175</v>
      </c>
      <c r="F16" s="24">
        <v>43792</v>
      </c>
      <c r="G16" s="14" t="s">
        <v>176</v>
      </c>
      <c r="H16" s="25" t="s">
        <v>96</v>
      </c>
      <c r="I16" s="25" t="s">
        <v>76</v>
      </c>
      <c r="J16" s="14" t="s">
        <v>112</v>
      </c>
      <c r="K16" s="26" t="s">
        <v>113</v>
      </c>
      <c r="L16" s="25" t="s">
        <v>97</v>
      </c>
      <c r="M16" s="25" t="s">
        <v>28</v>
      </c>
      <c r="N16" s="25" t="s">
        <v>153</v>
      </c>
      <c r="O16" s="26" t="s">
        <v>154</v>
      </c>
      <c r="P16" s="16">
        <v>177.81</v>
      </c>
      <c r="Q16" s="16">
        <v>133.36000000000001</v>
      </c>
      <c r="R16" s="16">
        <v>120.02</v>
      </c>
      <c r="S16" s="16">
        <f>IF(Q16="","",ROUND(Q16-R16,2))</f>
        <v>13.34</v>
      </c>
      <c r="T16" s="25" t="s">
        <v>18</v>
      </c>
      <c r="V16" s="14" t="s">
        <v>38</v>
      </c>
      <c r="W16" s="25" t="s">
        <v>159</v>
      </c>
      <c r="X16" s="27">
        <f ca="1">IF(A16="","",IF(Y16="",TODAY()-B16,Y16-B16))</f>
        <v>5</v>
      </c>
      <c r="Y16" s="24">
        <v>46236</v>
      </c>
      <c r="Z16" s="25" t="str">
        <f ca="1">IF(X16="","",IF(X16&gt;SLA_Days,"Breached",IF(X16&gt;=SLA_Days-5,"At Risk","Within SLA")))</f>
        <v>Within SLA</v>
      </c>
    </row>
    <row r="17" spans="1:26">
      <c r="A17" s="14" t="s">
        <v>177</v>
      </c>
      <c r="B17" s="24">
        <v>46232</v>
      </c>
      <c r="C17" s="24">
        <v>46225</v>
      </c>
      <c r="D17" s="14" t="s">
        <v>178</v>
      </c>
      <c r="E17" s="14" t="s">
        <v>179</v>
      </c>
      <c r="F17" s="24">
        <v>29657</v>
      </c>
      <c r="G17" s="14" t="s">
        <v>180</v>
      </c>
      <c r="H17" s="25" t="s">
        <v>75</v>
      </c>
      <c r="I17" s="25" t="s">
        <v>76</v>
      </c>
      <c r="J17" s="14" t="s">
        <v>121</v>
      </c>
      <c r="K17" s="26" t="s">
        <v>122</v>
      </c>
      <c r="L17" s="25" t="s">
        <v>97</v>
      </c>
      <c r="M17" s="25" t="s">
        <v>24</v>
      </c>
      <c r="N17" s="25" t="s">
        <v>123</v>
      </c>
      <c r="O17" s="26" t="s">
        <v>124</v>
      </c>
      <c r="P17" s="16">
        <v>26696.400000000001</v>
      </c>
      <c r="Q17" s="16">
        <v>14683.02</v>
      </c>
      <c r="R17" s="16">
        <v>12480.57</v>
      </c>
      <c r="S17" s="16">
        <f>IF(Q17="","",ROUND(Q17-R17,2))</f>
        <v>2202.4499999999998</v>
      </c>
      <c r="T17" s="25" t="s">
        <v>18</v>
      </c>
      <c r="V17" s="14" t="s">
        <v>40</v>
      </c>
      <c r="W17" s="25" t="s">
        <v>125</v>
      </c>
      <c r="X17" s="27">
        <f ca="1">IF(A17="","",IF(Y17="",TODAY()-B17,Y17-B17))</f>
        <v>29</v>
      </c>
      <c r="Y17" s="24">
        <v>46261</v>
      </c>
      <c r="Z17" s="25" t="str">
        <f ca="1">IF(X17="","",IF(X17&gt;SLA_Days,"Breached",IF(X17&gt;=SLA_Days-5,"At Risk","Within SLA")))</f>
        <v>At Risk</v>
      </c>
    </row>
    <row r="18" spans="1:26">
      <c r="A18" s="14" t="s">
        <v>181</v>
      </c>
      <c r="B18" s="24">
        <v>46233</v>
      </c>
      <c r="C18" s="24">
        <v>46230</v>
      </c>
      <c r="D18" s="14" t="s">
        <v>182</v>
      </c>
      <c r="E18" s="14" t="s">
        <v>183</v>
      </c>
      <c r="F18" s="24">
        <v>40326</v>
      </c>
      <c r="G18" s="14" t="s">
        <v>184</v>
      </c>
      <c r="H18" s="25" t="s">
        <v>104</v>
      </c>
      <c r="I18" s="25" t="s">
        <v>76</v>
      </c>
      <c r="J18" s="14" t="s">
        <v>88</v>
      </c>
      <c r="K18" s="26" t="s">
        <v>89</v>
      </c>
      <c r="L18" s="25" t="s">
        <v>97</v>
      </c>
      <c r="M18" s="25" t="s">
        <v>27</v>
      </c>
      <c r="N18" s="25" t="s">
        <v>90</v>
      </c>
      <c r="O18" s="26" t="s">
        <v>91</v>
      </c>
      <c r="P18" s="16">
        <v>4107.8</v>
      </c>
      <c r="Q18" s="16">
        <v>3491.63</v>
      </c>
      <c r="R18" s="16">
        <v>2444.14</v>
      </c>
      <c r="S18" s="16">
        <f>IF(Q18="","",ROUND(Q18-R18,2))</f>
        <v>1047.49</v>
      </c>
      <c r="T18" s="25" t="s">
        <v>18</v>
      </c>
      <c r="V18" s="14" t="s">
        <v>40</v>
      </c>
      <c r="W18" s="25" t="s">
        <v>82</v>
      </c>
      <c r="X18" s="27">
        <f ca="1">IF(A18="","",IF(Y18="",TODAY()-B18,Y18-B18))</f>
        <v>18</v>
      </c>
      <c r="Y18" s="24">
        <v>46251</v>
      </c>
      <c r="Z18" s="25" t="str">
        <f ca="1">IF(X18="","",IF(X18&gt;SLA_Days,"Breached",IF(X18&gt;=SLA_Days-5,"At Risk","Within SLA")))</f>
        <v>Within SLA</v>
      </c>
    </row>
    <row r="19" spans="1:26">
      <c r="A19" s="14" t="s">
        <v>185</v>
      </c>
      <c r="B19" s="24">
        <v>46238</v>
      </c>
      <c r="C19" s="24">
        <v>46224</v>
      </c>
      <c r="D19" s="14" t="s">
        <v>186</v>
      </c>
      <c r="E19" s="14" t="s">
        <v>187</v>
      </c>
      <c r="F19" s="24">
        <v>20335</v>
      </c>
      <c r="G19" s="14" t="s">
        <v>188</v>
      </c>
      <c r="H19" s="25" t="s">
        <v>87</v>
      </c>
      <c r="I19" s="25" t="s">
        <v>76</v>
      </c>
      <c r="J19" s="14" t="s">
        <v>136</v>
      </c>
      <c r="K19" s="26" t="s">
        <v>137</v>
      </c>
      <c r="L19" s="25" t="s">
        <v>97</v>
      </c>
      <c r="M19" s="25" t="s">
        <v>26</v>
      </c>
      <c r="N19" s="25" t="s">
        <v>189</v>
      </c>
      <c r="O19" s="26" t="s">
        <v>190</v>
      </c>
      <c r="P19" s="16">
        <v>151.99</v>
      </c>
      <c r="Q19" s="16">
        <v>106.39</v>
      </c>
      <c r="R19" s="16">
        <v>85.11</v>
      </c>
      <c r="S19" s="16">
        <f>IF(Q19="","",ROUND(Q19-R19,2))</f>
        <v>21.28</v>
      </c>
      <c r="T19" s="25" t="s">
        <v>18</v>
      </c>
      <c r="V19" s="14" t="s">
        <v>39</v>
      </c>
      <c r="W19" s="25" t="s">
        <v>82</v>
      </c>
      <c r="X19" s="27">
        <f ca="1">IF(A19="","",IF(Y19="",TODAY()-B19,Y19-B19))</f>
        <v>5</v>
      </c>
      <c r="Y19" s="24">
        <v>46243</v>
      </c>
      <c r="Z19" s="25" t="str">
        <f ca="1">IF(X19="","",IF(X19&gt;SLA_Days,"Breached",IF(X19&gt;=SLA_Days-5,"At Risk","Within SLA")))</f>
        <v>Within SLA</v>
      </c>
    </row>
    <row r="20" spans="1:26">
      <c r="A20" s="14" t="s">
        <v>191</v>
      </c>
      <c r="B20" s="24">
        <v>46241</v>
      </c>
      <c r="C20" s="24">
        <v>46227</v>
      </c>
      <c r="D20" s="14" t="s">
        <v>192</v>
      </c>
      <c r="E20" s="14" t="s">
        <v>193</v>
      </c>
      <c r="F20" s="24">
        <v>21646</v>
      </c>
      <c r="G20" s="14" t="s">
        <v>194</v>
      </c>
      <c r="H20" s="25" t="s">
        <v>104</v>
      </c>
      <c r="I20" s="25" t="s">
        <v>76</v>
      </c>
      <c r="J20" s="14" t="s">
        <v>195</v>
      </c>
      <c r="K20" s="26" t="s">
        <v>196</v>
      </c>
      <c r="L20" s="25" t="s">
        <v>97</v>
      </c>
      <c r="M20" s="25" t="s">
        <v>25</v>
      </c>
      <c r="N20" s="25" t="s">
        <v>197</v>
      </c>
      <c r="O20" s="26" t="s">
        <v>198</v>
      </c>
      <c r="P20" s="16">
        <v>2482.9299999999998</v>
      </c>
      <c r="Q20" s="16">
        <v>1613.9</v>
      </c>
      <c r="R20" s="16">
        <v>1129.73</v>
      </c>
      <c r="S20" s="16">
        <f>IF(Q20="","",ROUND(Q20-R20,2))</f>
        <v>484.17</v>
      </c>
      <c r="T20" s="25" t="s">
        <v>19</v>
      </c>
      <c r="V20" s="14" t="s">
        <v>38</v>
      </c>
      <c r="W20" s="25" t="s">
        <v>82</v>
      </c>
      <c r="X20" s="27">
        <f ca="1">IF(A20="","",IF(Y20="",TODAY()-B20,Y20-B20))</f>
        <v>20</v>
      </c>
      <c r="Y20" s="24">
        <v>46261</v>
      </c>
      <c r="Z20" s="25" t="str">
        <f ca="1">IF(X20="","",IF(X20&gt;SLA_Days,"Breached",IF(X20&gt;=SLA_Days-5,"At Risk","Within SLA")))</f>
        <v>Within SLA</v>
      </c>
    </row>
    <row r="21" spans="1:26">
      <c r="A21" s="14" t="s">
        <v>199</v>
      </c>
      <c r="B21" s="24">
        <v>46244</v>
      </c>
      <c r="C21" s="24">
        <v>46230</v>
      </c>
      <c r="D21" s="14" t="s">
        <v>169</v>
      </c>
      <c r="E21" s="14" t="s">
        <v>170</v>
      </c>
      <c r="F21" s="24">
        <v>25860</v>
      </c>
      <c r="G21" s="14" t="s">
        <v>171</v>
      </c>
      <c r="H21" s="25" t="s">
        <v>87</v>
      </c>
      <c r="I21" s="25" t="s">
        <v>76</v>
      </c>
      <c r="J21" s="14" t="s">
        <v>136</v>
      </c>
      <c r="K21" s="26" t="s">
        <v>137</v>
      </c>
      <c r="L21" s="25" t="s">
        <v>97</v>
      </c>
      <c r="M21" s="25" t="s">
        <v>26</v>
      </c>
      <c r="N21" s="25" t="s">
        <v>80</v>
      </c>
      <c r="O21" s="26" t="s">
        <v>81</v>
      </c>
      <c r="P21" s="16">
        <v>246.78</v>
      </c>
      <c r="S21" s="16" t="str">
        <f>IF(Q21="","",ROUND(Q21-R21,2))</f>
        <v/>
      </c>
      <c r="T21" s="25" t="s">
        <v>16</v>
      </c>
      <c r="V21" s="14" t="s">
        <v>40</v>
      </c>
      <c r="W21" s="25" t="s">
        <v>82</v>
      </c>
      <c r="X21" s="27">
        <f ca="1">IF(A21="","",IF(Y21="",TODAY()-B21,Y21-B21))</f>
        <v>60</v>
      </c>
      <c r="Z21" s="25" t="str">
        <f ca="1">IF(X21="","",IF(X21&gt;SLA_Days,"Breached",IF(X21&gt;=SLA_Days-5,"At Risk","Within SLA")))</f>
        <v>Breached</v>
      </c>
    </row>
    <row r="22" spans="1:26">
      <c r="A22" s="14" t="s">
        <v>200</v>
      </c>
      <c r="B22" s="24">
        <v>46245</v>
      </c>
      <c r="C22" s="24">
        <v>46235</v>
      </c>
      <c r="D22" s="14" t="s">
        <v>201</v>
      </c>
      <c r="E22" s="14" t="s">
        <v>202</v>
      </c>
      <c r="F22" s="24">
        <v>26407</v>
      </c>
      <c r="G22" s="14" t="s">
        <v>203</v>
      </c>
      <c r="H22" s="25" t="s">
        <v>104</v>
      </c>
      <c r="I22" s="25" t="s">
        <v>76</v>
      </c>
      <c r="J22" s="14" t="s">
        <v>88</v>
      </c>
      <c r="K22" s="26" t="s">
        <v>89</v>
      </c>
      <c r="L22" s="25" t="s">
        <v>97</v>
      </c>
      <c r="M22" s="25" t="s">
        <v>27</v>
      </c>
      <c r="N22" s="25" t="s">
        <v>80</v>
      </c>
      <c r="O22" s="26" t="s">
        <v>204</v>
      </c>
      <c r="P22" s="16">
        <v>620.57000000000005</v>
      </c>
      <c r="Q22" s="16">
        <v>527.48</v>
      </c>
      <c r="R22" s="16">
        <v>369.24</v>
      </c>
      <c r="S22" s="16">
        <f>IF(Q22="","",ROUND(Q22-R22,2))</f>
        <v>158.24</v>
      </c>
      <c r="T22" s="25" t="s">
        <v>19</v>
      </c>
      <c r="V22" s="14" t="s">
        <v>38</v>
      </c>
      <c r="W22" s="25" t="s">
        <v>82</v>
      </c>
      <c r="X22" s="27">
        <f ca="1">IF(A22="","",IF(Y22="",TODAY()-B22,Y22-B22))</f>
        <v>31</v>
      </c>
      <c r="Y22" s="24">
        <v>46276</v>
      </c>
      <c r="Z22" s="25" t="str">
        <f ca="1">IF(X22="","",IF(X22&gt;SLA_Days,"Breached",IF(X22&gt;=SLA_Days-5,"At Risk","Within SLA")))</f>
        <v>Breached</v>
      </c>
    </row>
    <row r="23" spans="1:26">
      <c r="A23" s="14" t="s">
        <v>205</v>
      </c>
      <c r="B23" s="24">
        <v>46246</v>
      </c>
      <c r="C23" s="24">
        <v>46242</v>
      </c>
      <c r="D23" s="14" t="s">
        <v>161</v>
      </c>
      <c r="E23" s="14" t="s">
        <v>162</v>
      </c>
      <c r="F23" s="24">
        <v>21322</v>
      </c>
      <c r="G23" s="14" t="s">
        <v>163</v>
      </c>
      <c r="H23" s="25" t="s">
        <v>96</v>
      </c>
      <c r="I23" s="25" t="s">
        <v>76</v>
      </c>
      <c r="J23" s="14" t="s">
        <v>164</v>
      </c>
      <c r="K23" s="26" t="s">
        <v>165</v>
      </c>
      <c r="L23" s="25" t="s">
        <v>97</v>
      </c>
      <c r="M23" s="25" t="s">
        <v>25</v>
      </c>
      <c r="N23" s="25" t="s">
        <v>206</v>
      </c>
      <c r="O23" s="26" t="s">
        <v>207</v>
      </c>
      <c r="P23" s="16">
        <v>313.20999999999998</v>
      </c>
      <c r="S23" s="16" t="str">
        <f>IF(Q23="","",ROUND(Q23-R23,2))</f>
        <v/>
      </c>
      <c r="T23" s="25" t="s">
        <v>16</v>
      </c>
      <c r="V23" s="14" t="s">
        <v>39</v>
      </c>
      <c r="W23" s="25" t="s">
        <v>82</v>
      </c>
      <c r="X23" s="27">
        <f ca="1">IF(A23="","",IF(Y23="",TODAY()-B23,Y23-B23))</f>
        <v>58</v>
      </c>
      <c r="Z23" s="25" t="str">
        <f ca="1">IF(X23="","",IF(X23&gt;SLA_Days,"Breached",IF(X23&gt;=SLA_Days-5,"At Risk","Within SLA")))</f>
        <v>Breached</v>
      </c>
    </row>
    <row r="24" spans="1:26">
      <c r="A24" s="14" t="s">
        <v>208</v>
      </c>
      <c r="B24" s="24">
        <v>46246</v>
      </c>
      <c r="C24" s="24">
        <v>46225</v>
      </c>
      <c r="D24" s="14" t="s">
        <v>109</v>
      </c>
      <c r="E24" s="14" t="s">
        <v>110</v>
      </c>
      <c r="F24" s="24">
        <v>28981</v>
      </c>
      <c r="G24" s="14" t="s">
        <v>111</v>
      </c>
      <c r="H24" s="25" t="s">
        <v>87</v>
      </c>
      <c r="I24" s="25" t="s">
        <v>76</v>
      </c>
      <c r="J24" s="14" t="s">
        <v>112</v>
      </c>
      <c r="K24" s="26" t="s">
        <v>113</v>
      </c>
      <c r="L24" s="25" t="s">
        <v>97</v>
      </c>
      <c r="M24" s="25" t="s">
        <v>28</v>
      </c>
      <c r="N24" s="25" t="s">
        <v>114</v>
      </c>
      <c r="O24" s="26" t="s">
        <v>115</v>
      </c>
      <c r="P24" s="16">
        <v>114.89</v>
      </c>
      <c r="S24" s="16" t="str">
        <f>IF(Q24="","",ROUND(Q24-R24,2))</f>
        <v/>
      </c>
      <c r="T24" s="25" t="s">
        <v>16</v>
      </c>
      <c r="V24" s="14" t="s">
        <v>40</v>
      </c>
      <c r="W24" s="25" t="s">
        <v>82</v>
      </c>
      <c r="X24" s="27">
        <f ca="1">IF(A24="","",IF(Y24="",TODAY()-B24,Y24-B24))</f>
        <v>58</v>
      </c>
      <c r="Z24" s="25" t="str">
        <f ca="1">IF(X24="","",IF(X24&gt;SLA_Days,"Breached",IF(X24&gt;=SLA_Days-5,"At Risk","Within SLA")))</f>
        <v>Breached</v>
      </c>
    </row>
    <row r="25" spans="1:26">
      <c r="A25" s="14" t="s">
        <v>209</v>
      </c>
      <c r="B25" s="24">
        <v>46248</v>
      </c>
      <c r="C25" s="24">
        <v>46233</v>
      </c>
      <c r="D25" s="14" t="s">
        <v>210</v>
      </c>
      <c r="E25" s="14" t="s">
        <v>211</v>
      </c>
      <c r="F25" s="24">
        <v>27991</v>
      </c>
      <c r="G25" s="14" t="s">
        <v>212</v>
      </c>
      <c r="H25" s="25" t="s">
        <v>87</v>
      </c>
      <c r="I25" s="25" t="s">
        <v>76</v>
      </c>
      <c r="J25" s="14" t="s">
        <v>136</v>
      </c>
      <c r="K25" s="26" t="s">
        <v>137</v>
      </c>
      <c r="L25" s="25" t="s">
        <v>97</v>
      </c>
      <c r="M25" s="25" t="s">
        <v>26</v>
      </c>
      <c r="N25" s="25" t="s">
        <v>213</v>
      </c>
      <c r="O25" s="26" t="s">
        <v>214</v>
      </c>
      <c r="P25" s="16">
        <v>1105.19</v>
      </c>
      <c r="Q25" s="16">
        <v>773.63</v>
      </c>
      <c r="R25" s="16">
        <v>618.9</v>
      </c>
      <c r="S25" s="16">
        <f>IF(Q25="","",ROUND(Q25-R25,2))</f>
        <v>154.72999999999999</v>
      </c>
      <c r="T25" s="25" t="s">
        <v>19</v>
      </c>
      <c r="V25" s="14" t="s">
        <v>40</v>
      </c>
      <c r="W25" s="25" t="s">
        <v>159</v>
      </c>
      <c r="X25" s="27">
        <f ca="1">IF(A25="","",IF(Y25="",TODAY()-B25,Y25-B25))</f>
        <v>16</v>
      </c>
      <c r="Y25" s="24">
        <v>46264</v>
      </c>
      <c r="Z25" s="25" t="str">
        <f ca="1">IF(X25="","",IF(X25&gt;SLA_Days,"Breached",IF(X25&gt;=SLA_Days-5,"At Risk","Within SLA")))</f>
        <v>Within SLA</v>
      </c>
    </row>
    <row r="26" spans="1:26">
      <c r="A26" s="14" t="s">
        <v>215</v>
      </c>
      <c r="B26" s="24">
        <v>46248</v>
      </c>
      <c r="C26" s="24">
        <v>46233</v>
      </c>
      <c r="D26" s="14" t="s">
        <v>216</v>
      </c>
      <c r="E26" s="14" t="s">
        <v>217</v>
      </c>
      <c r="F26" s="24">
        <v>41489</v>
      </c>
      <c r="G26" s="14" t="s">
        <v>218</v>
      </c>
      <c r="H26" s="25" t="s">
        <v>96</v>
      </c>
      <c r="I26" s="25" t="s">
        <v>76</v>
      </c>
      <c r="J26" s="14" t="s">
        <v>77</v>
      </c>
      <c r="K26" s="26" t="s">
        <v>78</v>
      </c>
      <c r="L26" s="25" t="s">
        <v>97</v>
      </c>
      <c r="M26" s="25" t="s">
        <v>26</v>
      </c>
      <c r="N26" s="25" t="s">
        <v>189</v>
      </c>
      <c r="O26" s="26" t="s">
        <v>190</v>
      </c>
      <c r="P26" s="16">
        <v>199.64</v>
      </c>
      <c r="Q26" s="16">
        <v>139.75</v>
      </c>
      <c r="R26" s="16">
        <v>125.78</v>
      </c>
      <c r="S26" s="16">
        <f>IF(Q26="","",ROUND(Q26-R26,2))</f>
        <v>13.97</v>
      </c>
      <c r="T26" s="25" t="s">
        <v>19</v>
      </c>
      <c r="V26" s="14" t="s">
        <v>41</v>
      </c>
      <c r="W26" s="25" t="s">
        <v>82</v>
      </c>
      <c r="X26" s="27">
        <f ca="1">IF(A26="","",IF(Y26="",TODAY()-B26,Y26-B26))</f>
        <v>21</v>
      </c>
      <c r="Y26" s="24">
        <v>46269</v>
      </c>
      <c r="Z26" s="25" t="str">
        <f ca="1">IF(X26="","",IF(X26&gt;SLA_Days,"Breached",IF(X26&gt;=SLA_Days-5,"At Risk","Within SLA")))</f>
        <v>Within SLA</v>
      </c>
    </row>
    <row r="27" spans="1:26">
      <c r="A27" s="14" t="s">
        <v>219</v>
      </c>
      <c r="B27" s="24">
        <v>46248</v>
      </c>
      <c r="C27" s="24">
        <v>46233</v>
      </c>
      <c r="D27" s="14" t="s">
        <v>220</v>
      </c>
      <c r="E27" s="14" t="s">
        <v>221</v>
      </c>
      <c r="F27" s="24">
        <v>43242</v>
      </c>
      <c r="G27" s="14" t="s">
        <v>222</v>
      </c>
      <c r="H27" s="25" t="s">
        <v>75</v>
      </c>
      <c r="I27" s="25" t="s">
        <v>76</v>
      </c>
      <c r="J27" s="14" t="s">
        <v>88</v>
      </c>
      <c r="K27" s="26" t="s">
        <v>89</v>
      </c>
      <c r="L27" s="25" t="s">
        <v>97</v>
      </c>
      <c r="M27" s="25" t="s">
        <v>27</v>
      </c>
      <c r="N27" s="25" t="s">
        <v>105</v>
      </c>
      <c r="O27" s="26" t="s">
        <v>106</v>
      </c>
      <c r="P27" s="16">
        <v>7027.25</v>
      </c>
      <c r="S27" s="16" t="str">
        <f>IF(Q27="","",ROUND(Q27-R27,2))</f>
        <v/>
      </c>
      <c r="T27" s="25" t="s">
        <v>16</v>
      </c>
      <c r="V27" s="14" t="s">
        <v>39</v>
      </c>
      <c r="W27" s="25" t="s">
        <v>82</v>
      </c>
      <c r="X27" s="27">
        <f ca="1">IF(A27="","",IF(Y27="",TODAY()-B27,Y27-B27))</f>
        <v>56</v>
      </c>
      <c r="Z27" s="25" t="str">
        <f ca="1">IF(X27="","",IF(X27&gt;SLA_Days,"Breached",IF(X27&gt;=SLA_Days-5,"At Risk","Within SLA")))</f>
        <v>Breached</v>
      </c>
    </row>
    <row r="28" spans="1:26">
      <c r="A28" s="14" t="s">
        <v>223</v>
      </c>
      <c r="B28" s="24">
        <v>46249</v>
      </c>
      <c r="C28" s="24">
        <v>46240</v>
      </c>
      <c r="D28" s="14" t="s">
        <v>224</v>
      </c>
      <c r="E28" s="14" t="s">
        <v>225</v>
      </c>
      <c r="F28" s="24">
        <v>29163</v>
      </c>
      <c r="G28" s="14" t="s">
        <v>226</v>
      </c>
      <c r="H28" s="25" t="s">
        <v>104</v>
      </c>
      <c r="I28" s="25" t="s">
        <v>76</v>
      </c>
      <c r="J28" s="14" t="s">
        <v>112</v>
      </c>
      <c r="K28" s="26" t="s">
        <v>113</v>
      </c>
      <c r="L28" s="25" t="s">
        <v>97</v>
      </c>
      <c r="M28" s="25" t="s">
        <v>28</v>
      </c>
      <c r="N28" s="25" t="s">
        <v>130</v>
      </c>
      <c r="O28" s="26" t="s">
        <v>131</v>
      </c>
      <c r="P28" s="16">
        <v>302.39999999999998</v>
      </c>
      <c r="Q28" s="16">
        <v>0</v>
      </c>
      <c r="R28" s="16">
        <v>0</v>
      </c>
      <c r="S28" s="16">
        <f>IF(Q28="","",ROUND(Q28-R28,2))</f>
        <v>0</v>
      </c>
      <c r="T28" s="25" t="s">
        <v>20</v>
      </c>
      <c r="U28" s="14" t="s">
        <v>172</v>
      </c>
      <c r="V28" s="14" t="s">
        <v>39</v>
      </c>
      <c r="W28" s="25" t="s">
        <v>159</v>
      </c>
      <c r="X28" s="27">
        <f ca="1">IF(A28="","",IF(Y28="",TODAY()-B28,Y28-B28))</f>
        <v>5</v>
      </c>
      <c r="Y28" s="24">
        <v>46254</v>
      </c>
      <c r="Z28" s="25" t="str">
        <f ca="1">IF(X28="","",IF(X28&gt;SLA_Days,"Breached",IF(X28&gt;=SLA_Days-5,"At Risk","Within SLA")))</f>
        <v>Within SLA</v>
      </c>
    </row>
    <row r="29" spans="1:26">
      <c r="A29" s="14" t="s">
        <v>227</v>
      </c>
      <c r="B29" s="24">
        <v>46250</v>
      </c>
      <c r="C29" s="24">
        <v>46240</v>
      </c>
      <c r="D29" s="14" t="s">
        <v>228</v>
      </c>
      <c r="E29" s="14" t="s">
        <v>229</v>
      </c>
      <c r="F29" s="24">
        <v>27714</v>
      </c>
      <c r="G29" s="14" t="s">
        <v>230</v>
      </c>
      <c r="H29" s="25" t="s">
        <v>104</v>
      </c>
      <c r="I29" s="25" t="s">
        <v>76</v>
      </c>
      <c r="J29" s="14" t="s">
        <v>136</v>
      </c>
      <c r="K29" s="26" t="s">
        <v>137</v>
      </c>
      <c r="L29" s="25" t="s">
        <v>97</v>
      </c>
      <c r="M29" s="25" t="s">
        <v>26</v>
      </c>
      <c r="N29" s="25" t="s">
        <v>98</v>
      </c>
      <c r="O29" s="26" t="s">
        <v>99</v>
      </c>
      <c r="P29" s="16">
        <v>230.94</v>
      </c>
      <c r="Q29" s="16">
        <v>161.66</v>
      </c>
      <c r="R29" s="16">
        <v>113.16</v>
      </c>
      <c r="S29" s="16">
        <f>IF(Q29="","",ROUND(Q29-R29,2))</f>
        <v>48.5</v>
      </c>
      <c r="T29" s="25" t="s">
        <v>19</v>
      </c>
      <c r="V29" s="14" t="s">
        <v>40</v>
      </c>
      <c r="W29" s="25" t="s">
        <v>82</v>
      </c>
      <c r="X29" s="27">
        <f ca="1">IF(A29="","",IF(Y29="",TODAY()-B29,Y29-B29))</f>
        <v>17</v>
      </c>
      <c r="Y29" s="24">
        <v>46267</v>
      </c>
      <c r="Z29" s="25" t="str">
        <f ca="1">IF(X29="","",IF(X29&gt;SLA_Days,"Breached",IF(X29&gt;=SLA_Days-5,"At Risk","Within SLA")))</f>
        <v>Within SLA</v>
      </c>
    </row>
    <row r="30" spans="1:26">
      <c r="A30" s="14" t="s">
        <v>231</v>
      </c>
      <c r="B30" s="24">
        <v>46251</v>
      </c>
      <c r="C30" s="24">
        <v>46236</v>
      </c>
      <c r="D30" s="14" t="s">
        <v>133</v>
      </c>
      <c r="E30" s="14" t="s">
        <v>134</v>
      </c>
      <c r="F30" s="24">
        <v>29698</v>
      </c>
      <c r="G30" s="14" t="s">
        <v>135</v>
      </c>
      <c r="H30" s="25" t="s">
        <v>75</v>
      </c>
      <c r="I30" s="25" t="s">
        <v>76</v>
      </c>
      <c r="J30" s="14" t="s">
        <v>121</v>
      </c>
      <c r="K30" s="26" t="s">
        <v>122</v>
      </c>
      <c r="L30" s="25" t="s">
        <v>97</v>
      </c>
      <c r="M30" s="25" t="s">
        <v>24</v>
      </c>
      <c r="N30" s="25" t="s">
        <v>232</v>
      </c>
      <c r="O30" s="26" t="s">
        <v>233</v>
      </c>
      <c r="P30" s="16">
        <v>18684.919999999998</v>
      </c>
      <c r="S30" s="16" t="str">
        <f>IF(Q30="","",ROUND(Q30-R30,2))</f>
        <v/>
      </c>
      <c r="T30" s="25" t="s">
        <v>16</v>
      </c>
      <c r="V30" s="14" t="s">
        <v>41</v>
      </c>
      <c r="W30" s="25" t="s">
        <v>82</v>
      </c>
      <c r="X30" s="27">
        <f ca="1">IF(A30="","",IF(Y30="",TODAY()-B30,Y30-B30))</f>
        <v>53</v>
      </c>
      <c r="Z30" s="25" t="str">
        <f ca="1">IF(X30="","",IF(X30&gt;SLA_Days,"Breached",IF(X30&gt;=SLA_Days-5,"At Risk","Within SLA")))</f>
        <v>Breached</v>
      </c>
    </row>
    <row r="31" spans="1:26">
      <c r="A31" s="14" t="s">
        <v>234</v>
      </c>
      <c r="B31" s="24">
        <v>46253</v>
      </c>
      <c r="C31" s="24">
        <v>46242</v>
      </c>
      <c r="D31" s="14" t="s">
        <v>235</v>
      </c>
      <c r="E31" s="14" t="s">
        <v>236</v>
      </c>
      <c r="F31" s="24">
        <v>34518</v>
      </c>
      <c r="G31" s="14" t="s">
        <v>237</v>
      </c>
      <c r="H31" s="25" t="s">
        <v>75</v>
      </c>
      <c r="I31" s="25" t="s">
        <v>76</v>
      </c>
      <c r="J31" s="14" t="s">
        <v>136</v>
      </c>
      <c r="K31" s="26" t="s">
        <v>137</v>
      </c>
      <c r="L31" s="25" t="s">
        <v>97</v>
      </c>
      <c r="M31" s="25" t="s">
        <v>26</v>
      </c>
      <c r="N31" s="25" t="s">
        <v>189</v>
      </c>
      <c r="O31" s="26" t="s">
        <v>190</v>
      </c>
      <c r="P31" s="16">
        <v>190.71</v>
      </c>
      <c r="Q31" s="16">
        <v>0</v>
      </c>
      <c r="R31" s="16">
        <v>0</v>
      </c>
      <c r="S31" s="16">
        <f>IF(Q31="","",ROUND(Q31-R31,2))</f>
        <v>0</v>
      </c>
      <c r="T31" s="25" t="s">
        <v>20</v>
      </c>
      <c r="U31" s="14" t="s">
        <v>172</v>
      </c>
      <c r="V31" s="14" t="s">
        <v>40</v>
      </c>
      <c r="W31" s="25" t="s">
        <v>82</v>
      </c>
      <c r="X31" s="27">
        <f ca="1">IF(A31="","",IF(Y31="",TODAY()-B31,Y31-B31))</f>
        <v>27</v>
      </c>
      <c r="Y31" s="24">
        <v>46280</v>
      </c>
      <c r="Z31" s="25" t="str">
        <f ca="1">IF(X31="","",IF(X31&gt;SLA_Days,"Breached",IF(X31&gt;=SLA_Days-5,"At Risk","Within SLA")))</f>
        <v>At Risk</v>
      </c>
    </row>
    <row r="32" spans="1:26">
      <c r="A32" s="14" t="s">
        <v>238</v>
      </c>
      <c r="B32" s="24">
        <v>46253</v>
      </c>
      <c r="C32" s="24">
        <v>46247</v>
      </c>
      <c r="D32" s="14" t="s">
        <v>146</v>
      </c>
      <c r="E32" s="14" t="s">
        <v>147</v>
      </c>
      <c r="F32" s="24">
        <v>38964</v>
      </c>
      <c r="G32" s="14" t="s">
        <v>148</v>
      </c>
      <c r="H32" s="25" t="s">
        <v>75</v>
      </c>
      <c r="I32" s="25" t="s">
        <v>76</v>
      </c>
      <c r="J32" s="14" t="s">
        <v>136</v>
      </c>
      <c r="K32" s="26" t="s">
        <v>137</v>
      </c>
      <c r="L32" s="25" t="s">
        <v>97</v>
      </c>
      <c r="M32" s="25" t="s">
        <v>26</v>
      </c>
      <c r="N32" s="25" t="s">
        <v>80</v>
      </c>
      <c r="O32" s="26" t="s">
        <v>81</v>
      </c>
      <c r="P32" s="16">
        <v>301.36</v>
      </c>
      <c r="S32" s="16" t="str">
        <f>IF(Q32="","",ROUND(Q32-R32,2))</f>
        <v/>
      </c>
      <c r="T32" s="25" t="s">
        <v>17</v>
      </c>
      <c r="U32" s="14" t="s">
        <v>239</v>
      </c>
      <c r="V32" s="14" t="s">
        <v>40</v>
      </c>
      <c r="W32" s="25" t="s">
        <v>82</v>
      </c>
      <c r="X32" s="27">
        <f ca="1">IF(A32="","",IF(Y32="",TODAY()-B32,Y32-B32))</f>
        <v>51</v>
      </c>
      <c r="Z32" s="25" t="str">
        <f ca="1">IF(X32="","",IF(X32&gt;SLA_Days,"Breached",IF(X32&gt;=SLA_Days-5,"At Risk","Within SLA")))</f>
        <v>Breached</v>
      </c>
    </row>
    <row r="33" spans="1:26">
      <c r="A33" s="14" t="s">
        <v>240</v>
      </c>
      <c r="B33" s="24">
        <v>46254</v>
      </c>
      <c r="C33" s="24">
        <v>46249</v>
      </c>
      <c r="D33" s="14" t="s">
        <v>220</v>
      </c>
      <c r="E33" s="14" t="s">
        <v>221</v>
      </c>
      <c r="F33" s="24">
        <v>43242</v>
      </c>
      <c r="G33" s="14" t="s">
        <v>222</v>
      </c>
      <c r="H33" s="25" t="s">
        <v>75</v>
      </c>
      <c r="I33" s="25" t="s">
        <v>76</v>
      </c>
      <c r="J33" s="14" t="s">
        <v>88</v>
      </c>
      <c r="K33" s="26" t="s">
        <v>89</v>
      </c>
      <c r="L33" s="25" t="s">
        <v>97</v>
      </c>
      <c r="M33" s="25" t="s">
        <v>27</v>
      </c>
      <c r="N33" s="25" t="s">
        <v>90</v>
      </c>
      <c r="O33" s="26" t="s">
        <v>91</v>
      </c>
      <c r="P33" s="16">
        <v>5733.32</v>
      </c>
      <c r="Q33" s="16">
        <v>4873.32</v>
      </c>
      <c r="R33" s="16">
        <v>4142.32</v>
      </c>
      <c r="S33" s="16">
        <f>IF(Q33="","",ROUND(Q33-R33,2))</f>
        <v>731</v>
      </c>
      <c r="T33" s="25" t="s">
        <v>18</v>
      </c>
      <c r="V33" s="14" t="s">
        <v>40</v>
      </c>
      <c r="W33" s="25" t="s">
        <v>82</v>
      </c>
      <c r="X33" s="27">
        <f ca="1">IF(A33="","",IF(Y33="",TODAY()-B33,Y33-B33))</f>
        <v>26</v>
      </c>
      <c r="Y33" s="24">
        <v>46280</v>
      </c>
      <c r="Z33" s="25" t="str">
        <f ca="1">IF(X33="","",IF(X33&gt;SLA_Days,"Breached",IF(X33&gt;=SLA_Days-5,"At Risk","Within SLA")))</f>
        <v>At Risk</v>
      </c>
    </row>
    <row r="34" spans="1:26">
      <c r="A34" s="14" t="s">
        <v>241</v>
      </c>
      <c r="B34" s="24">
        <v>46254</v>
      </c>
      <c r="C34" s="24">
        <v>46244</v>
      </c>
      <c r="D34" s="14" t="s">
        <v>93</v>
      </c>
      <c r="E34" s="14" t="s">
        <v>94</v>
      </c>
      <c r="F34" s="24">
        <v>41189</v>
      </c>
      <c r="G34" s="14" t="s">
        <v>95</v>
      </c>
      <c r="H34" s="25" t="s">
        <v>96</v>
      </c>
      <c r="I34" s="25" t="s">
        <v>76</v>
      </c>
      <c r="J34" s="14" t="s">
        <v>242</v>
      </c>
      <c r="K34" s="26" t="s">
        <v>243</v>
      </c>
      <c r="L34" s="25" t="s">
        <v>97</v>
      </c>
      <c r="M34" s="25" t="s">
        <v>26</v>
      </c>
      <c r="N34" s="25" t="s">
        <v>213</v>
      </c>
      <c r="O34" s="26" t="s">
        <v>214</v>
      </c>
      <c r="P34" s="16">
        <v>1476.18</v>
      </c>
      <c r="S34" s="16" t="str">
        <f>IF(Q34="","",ROUND(Q34-R34,2))</f>
        <v/>
      </c>
      <c r="T34" s="25" t="s">
        <v>17</v>
      </c>
      <c r="U34" s="14" t="s">
        <v>244</v>
      </c>
      <c r="V34" s="14" t="s">
        <v>38</v>
      </c>
      <c r="W34" s="25" t="s">
        <v>82</v>
      </c>
      <c r="X34" s="27">
        <f ca="1">IF(A34="","",IF(Y34="",TODAY()-B34,Y34-B34))</f>
        <v>50</v>
      </c>
      <c r="Z34" s="25" t="str">
        <f ca="1">IF(X34="","",IF(X34&gt;SLA_Days,"Breached",IF(X34&gt;=SLA_Days-5,"At Risk","Within SLA")))</f>
        <v>Breached</v>
      </c>
    </row>
    <row r="35" spans="1:26">
      <c r="A35" s="14" t="s">
        <v>245</v>
      </c>
      <c r="B35" s="24">
        <v>46254</v>
      </c>
      <c r="C35" s="24">
        <v>46247</v>
      </c>
      <c r="D35" s="14" t="s">
        <v>150</v>
      </c>
      <c r="E35" s="14" t="s">
        <v>151</v>
      </c>
      <c r="F35" s="24">
        <v>39048</v>
      </c>
      <c r="G35" s="14" t="s">
        <v>152</v>
      </c>
      <c r="H35" s="25" t="s">
        <v>75</v>
      </c>
      <c r="I35" s="25" t="s">
        <v>76</v>
      </c>
      <c r="J35" s="14" t="s">
        <v>242</v>
      </c>
      <c r="K35" s="26" t="s">
        <v>243</v>
      </c>
      <c r="L35" s="25" t="s">
        <v>97</v>
      </c>
      <c r="M35" s="25" t="s">
        <v>26</v>
      </c>
      <c r="N35" s="25" t="s">
        <v>98</v>
      </c>
      <c r="O35" s="26" t="s">
        <v>99</v>
      </c>
      <c r="P35" s="16">
        <v>298</v>
      </c>
      <c r="S35" s="16" t="str">
        <f>IF(Q35="","",ROUND(Q35-R35,2))</f>
        <v/>
      </c>
      <c r="T35" s="25" t="s">
        <v>15</v>
      </c>
      <c r="V35" s="14" t="s">
        <v>43</v>
      </c>
      <c r="W35" s="25" t="s">
        <v>82</v>
      </c>
      <c r="X35" s="27">
        <f ca="1">IF(A35="","",IF(Y35="",TODAY()-B35,Y35-B35))</f>
        <v>50</v>
      </c>
      <c r="Z35" s="25" t="str">
        <f ca="1">IF(X35="","",IF(X35&gt;SLA_Days,"Breached",IF(X35&gt;=SLA_Days-5,"At Risk","Within SLA")))</f>
        <v>Breached</v>
      </c>
    </row>
    <row r="36" spans="1:26">
      <c r="A36" s="14" t="s">
        <v>246</v>
      </c>
      <c r="B36" s="24">
        <v>46255</v>
      </c>
      <c r="C36" s="24">
        <v>46248</v>
      </c>
      <c r="D36" s="14" t="s">
        <v>72</v>
      </c>
      <c r="E36" s="14" t="s">
        <v>73</v>
      </c>
      <c r="F36" s="24">
        <v>21159</v>
      </c>
      <c r="G36" s="14" t="s">
        <v>74</v>
      </c>
      <c r="H36" s="25" t="s">
        <v>75</v>
      </c>
      <c r="I36" s="25" t="s">
        <v>76</v>
      </c>
      <c r="J36" s="14" t="s">
        <v>121</v>
      </c>
      <c r="K36" s="26" t="s">
        <v>122</v>
      </c>
      <c r="L36" s="25" t="s">
        <v>97</v>
      </c>
      <c r="M36" s="25" t="s">
        <v>24</v>
      </c>
      <c r="N36" s="25" t="s">
        <v>123</v>
      </c>
      <c r="O36" s="26" t="s">
        <v>124</v>
      </c>
      <c r="P36" s="16">
        <v>31926.57</v>
      </c>
      <c r="S36" s="16" t="str">
        <f>IF(Q36="","",ROUND(Q36-R36,2))</f>
        <v/>
      </c>
      <c r="T36" s="25" t="s">
        <v>17</v>
      </c>
      <c r="U36" s="14" t="s">
        <v>239</v>
      </c>
      <c r="V36" s="14" t="s">
        <v>38</v>
      </c>
      <c r="W36" s="25" t="s">
        <v>125</v>
      </c>
      <c r="X36" s="27">
        <f ca="1">IF(A36="","",IF(Y36="",TODAY()-B36,Y36-B36))</f>
        <v>49</v>
      </c>
      <c r="Z36" s="25" t="str">
        <f ca="1">IF(X36="","",IF(X36&gt;SLA_Days,"Breached",IF(X36&gt;=SLA_Days-5,"At Risk","Within SLA")))</f>
        <v>Breached</v>
      </c>
    </row>
    <row r="37" spans="1:26">
      <c r="A37" s="14" t="s">
        <v>247</v>
      </c>
      <c r="B37" s="24">
        <v>46256</v>
      </c>
      <c r="C37" s="24">
        <v>46242</v>
      </c>
      <c r="D37" s="14" t="s">
        <v>178</v>
      </c>
      <c r="E37" s="14" t="s">
        <v>179</v>
      </c>
      <c r="F37" s="24">
        <v>29657</v>
      </c>
      <c r="G37" s="14" t="s">
        <v>180</v>
      </c>
      <c r="H37" s="25" t="s">
        <v>75</v>
      </c>
      <c r="I37" s="25" t="s">
        <v>76</v>
      </c>
      <c r="J37" s="14" t="s">
        <v>142</v>
      </c>
      <c r="K37" s="26" t="s">
        <v>143</v>
      </c>
      <c r="L37" s="25" t="s">
        <v>97</v>
      </c>
      <c r="M37" s="25" t="s">
        <v>25</v>
      </c>
      <c r="N37" s="25" t="s">
        <v>206</v>
      </c>
      <c r="O37" s="26" t="s">
        <v>207</v>
      </c>
      <c r="P37" s="16">
        <v>505.95</v>
      </c>
      <c r="S37" s="16" t="str">
        <f>IF(Q37="","",ROUND(Q37-R37,2))</f>
        <v/>
      </c>
      <c r="T37" s="25" t="s">
        <v>17</v>
      </c>
      <c r="U37" s="14" t="s">
        <v>248</v>
      </c>
      <c r="V37" s="14" t="s">
        <v>39</v>
      </c>
      <c r="W37" s="25" t="s">
        <v>82</v>
      </c>
      <c r="X37" s="27">
        <f ca="1">IF(A37="","",IF(Y37="",TODAY()-B37,Y37-B37))</f>
        <v>48</v>
      </c>
      <c r="Z37" s="25" t="str">
        <f ca="1">IF(X37="","",IF(X37&gt;SLA_Days,"Breached",IF(X37&gt;=SLA_Days-5,"At Risk","Within SLA")))</f>
        <v>Breached</v>
      </c>
    </row>
    <row r="38" spans="1:26">
      <c r="A38" s="14" t="s">
        <v>249</v>
      </c>
      <c r="B38" s="24">
        <v>46260</v>
      </c>
      <c r="C38" s="24">
        <v>46241</v>
      </c>
      <c r="D38" s="14" t="s">
        <v>250</v>
      </c>
      <c r="E38" s="14" t="s">
        <v>251</v>
      </c>
      <c r="F38" s="24">
        <v>20198</v>
      </c>
      <c r="G38" s="14" t="s">
        <v>252</v>
      </c>
      <c r="H38" s="25" t="s">
        <v>104</v>
      </c>
      <c r="I38" s="25" t="s">
        <v>76</v>
      </c>
      <c r="J38" s="14" t="s">
        <v>253</v>
      </c>
      <c r="K38" s="26" t="s">
        <v>254</v>
      </c>
      <c r="L38" s="25" t="s">
        <v>79</v>
      </c>
      <c r="M38" s="25" t="s">
        <v>29</v>
      </c>
      <c r="N38" s="25" t="s">
        <v>255</v>
      </c>
      <c r="O38" s="26" t="s">
        <v>256</v>
      </c>
      <c r="P38" s="16">
        <v>251.9</v>
      </c>
      <c r="Q38" s="16">
        <v>105.8</v>
      </c>
      <c r="R38" s="16">
        <v>74.06</v>
      </c>
      <c r="S38" s="16">
        <f>IF(Q38="","",ROUND(Q38-R38,2))</f>
        <v>31.74</v>
      </c>
      <c r="T38" s="25" t="s">
        <v>19</v>
      </c>
      <c r="V38" s="14" t="s">
        <v>41</v>
      </c>
      <c r="W38" s="25" t="s">
        <v>82</v>
      </c>
      <c r="X38" s="27">
        <f ca="1">IF(A38="","",IF(Y38="",TODAY()-B38,Y38-B38))</f>
        <v>14</v>
      </c>
      <c r="Y38" s="24">
        <v>46274</v>
      </c>
      <c r="Z38" s="25" t="str">
        <f ca="1">IF(X38="","",IF(X38&gt;SLA_Days,"Breached",IF(X38&gt;=SLA_Days-5,"At Risk","Within SLA")))</f>
        <v>Within SLA</v>
      </c>
    </row>
    <row r="39" spans="1:26">
      <c r="A39" s="14" t="s">
        <v>257</v>
      </c>
      <c r="B39" s="24">
        <v>46261</v>
      </c>
      <c r="C39" s="24">
        <v>46252</v>
      </c>
      <c r="D39" s="14" t="s">
        <v>258</v>
      </c>
      <c r="E39" s="14" t="s">
        <v>259</v>
      </c>
      <c r="F39" s="24">
        <v>30278</v>
      </c>
      <c r="G39" s="14" t="s">
        <v>260</v>
      </c>
      <c r="H39" s="25" t="s">
        <v>75</v>
      </c>
      <c r="I39" s="25" t="s">
        <v>76</v>
      </c>
      <c r="J39" s="14" t="s">
        <v>164</v>
      </c>
      <c r="K39" s="26" t="s">
        <v>165</v>
      </c>
      <c r="L39" s="25" t="s">
        <v>97</v>
      </c>
      <c r="M39" s="25" t="s">
        <v>25</v>
      </c>
      <c r="N39" s="25" t="s">
        <v>144</v>
      </c>
      <c r="O39" s="26" t="s">
        <v>81</v>
      </c>
      <c r="P39" s="16">
        <v>313.27</v>
      </c>
      <c r="Q39" s="16">
        <v>203.63</v>
      </c>
      <c r="R39" s="16">
        <v>173.09</v>
      </c>
      <c r="S39" s="16">
        <f>IF(Q39="","",ROUND(Q39-R39,2))</f>
        <v>30.54</v>
      </c>
      <c r="T39" s="25" t="s">
        <v>19</v>
      </c>
      <c r="V39" s="14" t="s">
        <v>41</v>
      </c>
      <c r="W39" s="25" t="s">
        <v>82</v>
      </c>
      <c r="X39" s="27">
        <f ca="1">IF(A39="","",IF(Y39="",TODAY()-B39,Y39-B39))</f>
        <v>10</v>
      </c>
      <c r="Y39" s="24">
        <v>46271</v>
      </c>
      <c r="Z39" s="25" t="str">
        <f ca="1">IF(X39="","",IF(X39&gt;SLA_Days,"Breached",IF(X39&gt;=SLA_Days-5,"At Risk","Within SLA")))</f>
        <v>Within SLA</v>
      </c>
    </row>
    <row r="40" spans="1:26">
      <c r="A40" s="14" t="s">
        <v>261</v>
      </c>
      <c r="B40" s="24">
        <v>46263</v>
      </c>
      <c r="C40" s="24">
        <v>46245</v>
      </c>
      <c r="D40" s="14" t="s">
        <v>235</v>
      </c>
      <c r="E40" s="14" t="s">
        <v>236</v>
      </c>
      <c r="F40" s="24">
        <v>34518</v>
      </c>
      <c r="G40" s="14" t="s">
        <v>237</v>
      </c>
      <c r="H40" s="25" t="s">
        <v>75</v>
      </c>
      <c r="I40" s="25" t="s">
        <v>76</v>
      </c>
      <c r="J40" s="14" t="s">
        <v>242</v>
      </c>
      <c r="K40" s="26" t="s">
        <v>243</v>
      </c>
      <c r="L40" s="25" t="s">
        <v>97</v>
      </c>
      <c r="M40" s="25" t="s">
        <v>26</v>
      </c>
      <c r="N40" s="25" t="s">
        <v>189</v>
      </c>
      <c r="O40" s="26" t="s">
        <v>190</v>
      </c>
      <c r="P40" s="16">
        <v>188.46</v>
      </c>
      <c r="S40" s="16" t="str">
        <f>IF(Q40="","",ROUND(Q40-R40,2))</f>
        <v/>
      </c>
      <c r="T40" s="25" t="s">
        <v>16</v>
      </c>
      <c r="V40" s="14" t="s">
        <v>41</v>
      </c>
      <c r="W40" s="25" t="s">
        <v>159</v>
      </c>
      <c r="X40" s="27">
        <f ca="1">IF(A40="","",IF(Y40="",TODAY()-B40,Y40-B40))</f>
        <v>41</v>
      </c>
      <c r="Z40" s="25" t="str">
        <f ca="1">IF(X40="","",IF(X40&gt;SLA_Days,"Breached",IF(X40&gt;=SLA_Days-5,"At Risk","Within SLA")))</f>
        <v>Breached</v>
      </c>
    </row>
    <row r="41" spans="1:26">
      <c r="A41" s="14" t="s">
        <v>262</v>
      </c>
      <c r="B41" s="24">
        <v>46264</v>
      </c>
      <c r="C41" s="24">
        <v>46252</v>
      </c>
      <c r="D41" s="14" t="s">
        <v>263</v>
      </c>
      <c r="E41" s="14" t="s">
        <v>264</v>
      </c>
      <c r="F41" s="24">
        <v>17586</v>
      </c>
      <c r="G41" s="14" t="s">
        <v>265</v>
      </c>
      <c r="H41" s="25" t="s">
        <v>87</v>
      </c>
      <c r="I41" s="25" t="s">
        <v>76</v>
      </c>
      <c r="J41" s="14" t="s">
        <v>77</v>
      </c>
      <c r="K41" s="26" t="s">
        <v>78</v>
      </c>
      <c r="L41" s="25" t="s">
        <v>97</v>
      </c>
      <c r="M41" s="25" t="s">
        <v>26</v>
      </c>
      <c r="N41" s="25" t="s">
        <v>189</v>
      </c>
      <c r="O41" s="26" t="s">
        <v>190</v>
      </c>
      <c r="P41" s="16">
        <v>147.09</v>
      </c>
      <c r="Q41" s="16">
        <v>102.96</v>
      </c>
      <c r="R41" s="16">
        <v>82.37</v>
      </c>
      <c r="S41" s="16">
        <f>IF(Q41="","",ROUND(Q41-R41,2))</f>
        <v>20.59</v>
      </c>
      <c r="T41" s="25" t="s">
        <v>19</v>
      </c>
      <c r="V41" s="14" t="s">
        <v>41</v>
      </c>
      <c r="W41" s="25" t="s">
        <v>82</v>
      </c>
      <c r="X41" s="27">
        <f ca="1">IF(A41="","",IF(Y41="",TODAY()-B41,Y41-B41))</f>
        <v>8</v>
      </c>
      <c r="Y41" s="24">
        <v>46272</v>
      </c>
      <c r="Z41" s="25" t="str">
        <f ca="1">IF(X41="","",IF(X41&gt;SLA_Days,"Breached",IF(X41&gt;=SLA_Days-5,"At Risk","Within SLA")))</f>
        <v>Within SLA</v>
      </c>
    </row>
    <row r="42" spans="1:26">
      <c r="A42" s="14" t="s">
        <v>266</v>
      </c>
      <c r="B42" s="24">
        <v>46264</v>
      </c>
      <c r="C42" s="24">
        <v>46251</v>
      </c>
      <c r="D42" s="14" t="s">
        <v>224</v>
      </c>
      <c r="E42" s="14" t="s">
        <v>225</v>
      </c>
      <c r="F42" s="24">
        <v>29163</v>
      </c>
      <c r="G42" s="14" t="s">
        <v>226</v>
      </c>
      <c r="H42" s="25" t="s">
        <v>104</v>
      </c>
      <c r="I42" s="25" t="s">
        <v>76</v>
      </c>
      <c r="J42" s="14" t="s">
        <v>77</v>
      </c>
      <c r="K42" s="26" t="s">
        <v>78</v>
      </c>
      <c r="L42" s="25" t="s">
        <v>97</v>
      </c>
      <c r="M42" s="25" t="s">
        <v>26</v>
      </c>
      <c r="N42" s="25" t="s">
        <v>213</v>
      </c>
      <c r="O42" s="26" t="s">
        <v>214</v>
      </c>
      <c r="P42" s="16">
        <v>975.84</v>
      </c>
      <c r="S42" s="16" t="str">
        <f>IF(Q42="","",ROUND(Q42-R42,2))</f>
        <v/>
      </c>
      <c r="T42" s="25" t="s">
        <v>17</v>
      </c>
      <c r="U42" s="14" t="s">
        <v>267</v>
      </c>
      <c r="V42" s="14" t="s">
        <v>38</v>
      </c>
      <c r="W42" s="25" t="s">
        <v>82</v>
      </c>
      <c r="X42" s="27">
        <f ca="1">IF(A42="","",IF(Y42="",TODAY()-B42,Y42-B42))</f>
        <v>40</v>
      </c>
      <c r="Z42" s="25" t="str">
        <f ca="1">IF(X42="","",IF(X42&gt;SLA_Days,"Breached",IF(X42&gt;=SLA_Days-5,"At Risk","Within SLA")))</f>
        <v>Breached</v>
      </c>
    </row>
    <row r="43" spans="1:26">
      <c r="A43" s="14" t="s">
        <v>268</v>
      </c>
      <c r="B43" s="24">
        <v>46265</v>
      </c>
      <c r="C43" s="24">
        <v>46259</v>
      </c>
      <c r="D43" s="14" t="s">
        <v>269</v>
      </c>
      <c r="E43" s="14" t="s">
        <v>270</v>
      </c>
      <c r="F43" s="24">
        <v>26656</v>
      </c>
      <c r="G43" s="14" t="s">
        <v>271</v>
      </c>
      <c r="H43" s="25" t="s">
        <v>104</v>
      </c>
      <c r="I43" s="25" t="s">
        <v>76</v>
      </c>
      <c r="J43" s="14" t="s">
        <v>112</v>
      </c>
      <c r="K43" s="26" t="s">
        <v>113</v>
      </c>
      <c r="L43" s="25" t="s">
        <v>79</v>
      </c>
      <c r="M43" s="25" t="s">
        <v>28</v>
      </c>
      <c r="N43" s="25" t="s">
        <v>153</v>
      </c>
      <c r="O43" s="26" t="s">
        <v>154</v>
      </c>
      <c r="P43" s="16">
        <v>155.91999999999999</v>
      </c>
      <c r="S43" s="16" t="str">
        <f>IF(Q43="","",ROUND(Q43-R43,2))</f>
        <v/>
      </c>
      <c r="T43" s="25" t="s">
        <v>16</v>
      </c>
      <c r="V43" s="14" t="s">
        <v>38</v>
      </c>
      <c r="W43" s="25" t="s">
        <v>82</v>
      </c>
      <c r="X43" s="27">
        <f ca="1">IF(A43="","",IF(Y43="",TODAY()-B43,Y43-B43))</f>
        <v>39</v>
      </c>
      <c r="Z43" s="25" t="str">
        <f ca="1">IF(X43="","",IF(X43&gt;SLA_Days,"Breached",IF(X43&gt;=SLA_Days-5,"At Risk","Within SLA")))</f>
        <v>Breached</v>
      </c>
    </row>
    <row r="44" spans="1:26">
      <c r="A44" s="14" t="s">
        <v>272</v>
      </c>
      <c r="B44" s="24">
        <v>46268</v>
      </c>
      <c r="C44" s="24">
        <v>46266</v>
      </c>
      <c r="D44" s="14" t="s">
        <v>118</v>
      </c>
      <c r="E44" s="14" t="s">
        <v>119</v>
      </c>
      <c r="F44" s="24">
        <v>42515</v>
      </c>
      <c r="G44" s="14" t="s">
        <v>120</v>
      </c>
      <c r="H44" s="25" t="s">
        <v>75</v>
      </c>
      <c r="I44" s="25" t="s">
        <v>76</v>
      </c>
      <c r="J44" s="14" t="s">
        <v>121</v>
      </c>
      <c r="K44" s="26" t="s">
        <v>122</v>
      </c>
      <c r="L44" s="25" t="s">
        <v>97</v>
      </c>
      <c r="M44" s="25" t="s">
        <v>24</v>
      </c>
      <c r="N44" s="25" t="s">
        <v>273</v>
      </c>
      <c r="O44" s="26" t="s">
        <v>274</v>
      </c>
      <c r="P44" s="16">
        <v>54154.73</v>
      </c>
      <c r="S44" s="16" t="str">
        <f>IF(Q44="","",ROUND(Q44-R44,2))</f>
        <v/>
      </c>
      <c r="T44" s="25" t="s">
        <v>17</v>
      </c>
      <c r="U44" s="14" t="s">
        <v>248</v>
      </c>
      <c r="V44" s="14" t="s">
        <v>41</v>
      </c>
      <c r="W44" s="25" t="s">
        <v>125</v>
      </c>
      <c r="X44" s="27">
        <f ca="1">IF(A44="","",IF(Y44="",TODAY()-B44,Y44-B44))</f>
        <v>36</v>
      </c>
      <c r="Z44" s="25" t="str">
        <f ca="1">IF(X44="","",IF(X44&gt;SLA_Days,"Breached",IF(X44&gt;=SLA_Days-5,"At Risk","Within SLA")))</f>
        <v>Breached</v>
      </c>
    </row>
    <row r="45" spans="1:26">
      <c r="A45" s="14" t="s">
        <v>275</v>
      </c>
      <c r="B45" s="24">
        <v>46277</v>
      </c>
      <c r="C45" s="24">
        <v>46258</v>
      </c>
      <c r="D45" s="14" t="s">
        <v>84</v>
      </c>
      <c r="E45" s="14" t="s">
        <v>85</v>
      </c>
      <c r="F45" s="24">
        <v>30414</v>
      </c>
      <c r="G45" s="14" t="s">
        <v>86</v>
      </c>
      <c r="H45" s="25" t="s">
        <v>87</v>
      </c>
      <c r="I45" s="25" t="s">
        <v>76</v>
      </c>
      <c r="J45" s="14" t="s">
        <v>195</v>
      </c>
      <c r="K45" s="26" t="s">
        <v>196</v>
      </c>
      <c r="L45" s="25" t="s">
        <v>97</v>
      </c>
      <c r="M45" s="25" t="s">
        <v>25</v>
      </c>
      <c r="N45" s="25" t="s">
        <v>144</v>
      </c>
      <c r="O45" s="26" t="s">
        <v>81</v>
      </c>
      <c r="P45" s="16">
        <v>227.38</v>
      </c>
      <c r="S45" s="16" t="str">
        <f>IF(Q45="","",ROUND(Q45-R45,2))</f>
        <v/>
      </c>
      <c r="T45" s="25" t="s">
        <v>16</v>
      </c>
      <c r="V45" s="14" t="s">
        <v>41</v>
      </c>
      <c r="W45" s="25" t="s">
        <v>159</v>
      </c>
      <c r="X45" s="27">
        <f ca="1">IF(A45="","",IF(Y45="",TODAY()-B45,Y45-B45))</f>
        <v>27</v>
      </c>
      <c r="Z45" s="25" t="str">
        <f ca="1">IF(X45="","",IF(X45&gt;SLA_Days,"Breached",IF(X45&gt;=SLA_Days-5,"At Risk","Within SLA")))</f>
        <v>At Risk</v>
      </c>
    </row>
    <row r="46" spans="1:26">
      <c r="A46" s="14" t="s">
        <v>276</v>
      </c>
      <c r="B46" s="24">
        <v>46279</v>
      </c>
      <c r="C46" s="24">
        <v>46276</v>
      </c>
      <c r="D46" s="14" t="s">
        <v>139</v>
      </c>
      <c r="E46" s="14" t="s">
        <v>140</v>
      </c>
      <c r="F46" s="24">
        <v>33964</v>
      </c>
      <c r="G46" s="14" t="s">
        <v>141</v>
      </c>
      <c r="H46" s="25" t="s">
        <v>87</v>
      </c>
      <c r="I46" s="25" t="s">
        <v>277</v>
      </c>
      <c r="J46" s="14" t="s">
        <v>77</v>
      </c>
      <c r="K46" s="26" t="s">
        <v>78</v>
      </c>
      <c r="L46" s="25" t="s">
        <v>97</v>
      </c>
      <c r="M46" s="25" t="s">
        <v>26</v>
      </c>
      <c r="N46" s="25" t="s">
        <v>189</v>
      </c>
      <c r="O46" s="26" t="s">
        <v>190</v>
      </c>
      <c r="P46" s="16">
        <v>185</v>
      </c>
      <c r="S46" s="16" t="str">
        <f>IF(Q46="","",ROUND(Q46-R46,2))</f>
        <v/>
      </c>
      <c r="T46" s="25" t="s">
        <v>15</v>
      </c>
      <c r="V46" s="14" t="s">
        <v>43</v>
      </c>
      <c r="W46" s="25" t="s">
        <v>159</v>
      </c>
      <c r="X46" s="27">
        <f ca="1">IF(A46="","",IF(Y46="",TODAY()-B46,Y46-B46))</f>
        <v>25</v>
      </c>
      <c r="Z46" s="25" t="str">
        <f ca="1">IF(X46="","",IF(X46&gt;SLA_Days,"Breached",IF(X46&gt;=SLA_Days-5,"At Risk","Within SLA")))</f>
        <v>At Risk</v>
      </c>
    </row>
    <row r="47" spans="1:26">
      <c r="A47" s="14" t="s">
        <v>278</v>
      </c>
      <c r="B47" s="24">
        <v>46279</v>
      </c>
      <c r="C47" s="24">
        <v>46268</v>
      </c>
      <c r="D47" s="14" t="s">
        <v>139</v>
      </c>
      <c r="E47" s="14" t="s">
        <v>140</v>
      </c>
      <c r="F47" s="24">
        <v>33964</v>
      </c>
      <c r="G47" s="14" t="s">
        <v>141</v>
      </c>
      <c r="H47" s="25" t="s">
        <v>87</v>
      </c>
      <c r="I47" s="25" t="s">
        <v>277</v>
      </c>
      <c r="J47" s="14" t="s">
        <v>112</v>
      </c>
      <c r="K47" s="26" t="s">
        <v>113</v>
      </c>
      <c r="L47" s="25" t="s">
        <v>97</v>
      </c>
      <c r="M47" s="25" t="s">
        <v>28</v>
      </c>
      <c r="N47" s="25" t="s">
        <v>130</v>
      </c>
      <c r="O47" s="26" t="s">
        <v>131</v>
      </c>
      <c r="P47" s="16">
        <v>265</v>
      </c>
      <c r="S47" s="16" t="str">
        <f>IF(Q47="","",ROUND(Q47-R47,2))</f>
        <v/>
      </c>
      <c r="T47" s="25" t="s">
        <v>15</v>
      </c>
      <c r="V47" s="14" t="s">
        <v>43</v>
      </c>
      <c r="W47" s="25" t="s">
        <v>82</v>
      </c>
      <c r="X47" s="27">
        <f ca="1">IF(A47="","",IF(Y47="",TODAY()-B47,Y47-B47))</f>
        <v>25</v>
      </c>
      <c r="Z47" s="25" t="str">
        <f ca="1">IF(X47="","",IF(X47&gt;SLA_Days,"Breached",IF(X47&gt;=SLA_Days-5,"At Risk","Within SLA")))</f>
        <v>At Risk</v>
      </c>
    </row>
    <row r="48" spans="1:26">
      <c r="A48" s="14" t="s">
        <v>279</v>
      </c>
      <c r="B48" s="24">
        <v>46280</v>
      </c>
      <c r="C48" s="24">
        <v>46263</v>
      </c>
      <c r="D48" s="14" t="s">
        <v>139</v>
      </c>
      <c r="E48" s="14" t="s">
        <v>140</v>
      </c>
      <c r="F48" s="24">
        <v>33964</v>
      </c>
      <c r="G48" s="14" t="s">
        <v>141</v>
      </c>
      <c r="H48" s="25" t="s">
        <v>87</v>
      </c>
      <c r="I48" s="25" t="s">
        <v>76</v>
      </c>
      <c r="J48" s="14" t="s">
        <v>88</v>
      </c>
      <c r="K48" s="26" t="s">
        <v>89</v>
      </c>
      <c r="L48" s="25" t="s">
        <v>97</v>
      </c>
      <c r="M48" s="25" t="s">
        <v>27</v>
      </c>
      <c r="O48" s="26" t="s">
        <v>91</v>
      </c>
      <c r="P48" s="16">
        <v>5122.72</v>
      </c>
      <c r="S48" s="16" t="str">
        <f>IF(Q48="","",ROUND(Q48-R48,2))</f>
        <v/>
      </c>
      <c r="T48" s="25" t="s">
        <v>15</v>
      </c>
      <c r="V48" s="14" t="s">
        <v>43</v>
      </c>
      <c r="W48" s="25" t="s">
        <v>82</v>
      </c>
      <c r="X48" s="27">
        <f ca="1">IF(A48="","",IF(Y48="",TODAY()-B48,Y48-B48))</f>
        <v>24</v>
      </c>
      <c r="Z48" s="25" t="str">
        <f ca="1">IF(X48="","",IF(X48&gt;SLA_Days,"Breached",IF(X48&gt;=SLA_Days-5,"At Risk","Within SLA")))</f>
        <v>Within SLA</v>
      </c>
    </row>
    <row r="49" spans="1:28">
      <c r="A49" s="14" t="s">
        <v>126</v>
      </c>
      <c r="B49" s="24">
        <v>46281</v>
      </c>
      <c r="C49" s="24">
        <v>46271</v>
      </c>
      <c r="D49" s="14" t="s">
        <v>127</v>
      </c>
      <c r="E49" s="14" t="s">
        <v>128</v>
      </c>
      <c r="F49" s="24">
        <v>41489</v>
      </c>
      <c r="G49" s="14" t="s">
        <v>129</v>
      </c>
      <c r="H49" s="25" t="s">
        <v>96</v>
      </c>
      <c r="I49" s="25" t="s">
        <v>76</v>
      </c>
      <c r="J49" s="14" t="s">
        <v>112</v>
      </c>
      <c r="K49" s="26" t="s">
        <v>113</v>
      </c>
      <c r="L49" s="25" t="s">
        <v>97</v>
      </c>
      <c r="M49" s="25" t="s">
        <v>28</v>
      </c>
      <c r="N49" s="25" t="s">
        <v>130</v>
      </c>
      <c r="O49" s="26" t="s">
        <v>131</v>
      </c>
      <c r="P49" s="16">
        <v>284.2</v>
      </c>
      <c r="S49" s="16" t="str">
        <f>IF(Q49="","",ROUND(Q49-R49,2))</f>
        <v/>
      </c>
      <c r="T49" s="25" t="s">
        <v>15</v>
      </c>
      <c r="V49" s="14" t="s">
        <v>43</v>
      </c>
      <c r="W49" s="25" t="s">
        <v>82</v>
      </c>
      <c r="X49" s="27">
        <f ca="1">IF(A49="","",IF(Y49="",TODAY()-B49,Y49-B49))</f>
        <v>23</v>
      </c>
      <c r="Z49" s="25" t="str">
        <f ca="1">IF(X49="","",IF(X49&gt;SLA_Days,"Breached",IF(X49&gt;=SLA_Days-5,"At Risk","Within SLA")))</f>
        <v>Within SLA</v>
      </c>
      <c r="AB49" s="14" t="s">
        <v>280</v>
      </c>
    </row>
    <row r="50" spans="1:28">
      <c r="A50" s="14" t="s">
        <v>281</v>
      </c>
      <c r="B50" s="24">
        <v>46281</v>
      </c>
      <c r="C50" s="24">
        <v>46272</v>
      </c>
      <c r="D50" s="14" t="s">
        <v>161</v>
      </c>
      <c r="E50" s="14" t="s">
        <v>162</v>
      </c>
      <c r="F50" s="24">
        <v>21322</v>
      </c>
      <c r="G50" s="14" t="s">
        <v>163</v>
      </c>
      <c r="H50" s="25" t="s">
        <v>96</v>
      </c>
      <c r="I50" s="25" t="s">
        <v>76</v>
      </c>
      <c r="J50" s="14" t="s">
        <v>142</v>
      </c>
      <c r="K50" s="26" t="s">
        <v>282</v>
      </c>
      <c r="L50" s="25" t="s">
        <v>97</v>
      </c>
      <c r="M50" s="25" t="s">
        <v>25</v>
      </c>
      <c r="N50" s="25" t="s">
        <v>206</v>
      </c>
      <c r="O50" s="26" t="s">
        <v>207</v>
      </c>
      <c r="P50" s="16">
        <v>460.11</v>
      </c>
      <c r="S50" s="16" t="str">
        <f>IF(Q50="","",ROUND(Q50-R50,2))</f>
        <v/>
      </c>
      <c r="T50" s="25" t="s">
        <v>15</v>
      </c>
      <c r="V50" s="14" t="s">
        <v>43</v>
      </c>
      <c r="W50" s="25" t="s">
        <v>82</v>
      </c>
      <c r="X50" s="27">
        <f ca="1">IF(A50="","",IF(Y50="",TODAY()-B50,Y50-B50))</f>
        <v>23</v>
      </c>
      <c r="Z50" s="25" t="str">
        <f ca="1">IF(X50="","",IF(X50&gt;SLA_Days,"Breached",IF(X50&gt;=SLA_Days-5,"At Risk","Within SLA")))</f>
        <v>Within SLA</v>
      </c>
    </row>
    <row r="51" spans="1:28">
      <c r="A51" s="14" t="s">
        <v>283</v>
      </c>
      <c r="B51" s="24">
        <v>46281</v>
      </c>
      <c r="C51" s="24">
        <v>46284</v>
      </c>
      <c r="D51" s="14" t="s">
        <v>263</v>
      </c>
      <c r="E51" s="14" t="s">
        <v>264</v>
      </c>
      <c r="F51" s="24">
        <v>17586</v>
      </c>
      <c r="G51" s="14" t="s">
        <v>265</v>
      </c>
      <c r="H51" s="25" t="s">
        <v>87</v>
      </c>
      <c r="I51" s="25" t="s">
        <v>76</v>
      </c>
      <c r="J51" s="14" t="s">
        <v>242</v>
      </c>
      <c r="K51" s="26" t="s">
        <v>243</v>
      </c>
      <c r="L51" s="25" t="s">
        <v>97</v>
      </c>
      <c r="M51" s="25" t="s">
        <v>26</v>
      </c>
      <c r="N51" s="25" t="s">
        <v>98</v>
      </c>
      <c r="O51" s="26" t="s">
        <v>99</v>
      </c>
      <c r="P51" s="16">
        <v>255.99</v>
      </c>
      <c r="S51" s="16" t="str">
        <f>IF(Q51="","",ROUND(Q51-R51,2))</f>
        <v/>
      </c>
      <c r="T51" s="25" t="s">
        <v>15</v>
      </c>
      <c r="V51" s="14" t="s">
        <v>43</v>
      </c>
      <c r="W51" s="25" t="s">
        <v>82</v>
      </c>
      <c r="X51" s="27">
        <f ca="1">IF(A51="","",IF(Y51="",TODAY()-B51,Y51-B51))</f>
        <v>23</v>
      </c>
      <c r="Z51" s="25" t="str">
        <f ca="1">IF(X51="","",IF(X51&gt;SLA_Days,"Breached",IF(X51&gt;=SLA_Days-5,"At Risk","Within SLA")))</f>
        <v>Within SLA</v>
      </c>
    </row>
    <row r="52" spans="1:28">
      <c r="A52" s="14" t="s">
        <v>284</v>
      </c>
      <c r="B52" s="24">
        <v>46281</v>
      </c>
      <c r="C52" s="24">
        <v>46276</v>
      </c>
      <c r="D52" s="14" t="s">
        <v>182</v>
      </c>
      <c r="E52" s="14" t="s">
        <v>183</v>
      </c>
      <c r="F52" s="24">
        <v>40326</v>
      </c>
      <c r="G52" s="14" t="s">
        <v>184</v>
      </c>
      <c r="H52" s="25" t="s">
        <v>104</v>
      </c>
      <c r="I52" s="25" t="s">
        <v>76</v>
      </c>
      <c r="J52" s="14" t="s">
        <v>121</v>
      </c>
      <c r="K52" s="26" t="s">
        <v>122</v>
      </c>
      <c r="L52" s="25" t="s">
        <v>97</v>
      </c>
      <c r="M52" s="25" t="s">
        <v>24</v>
      </c>
      <c r="N52" s="25" t="s">
        <v>273</v>
      </c>
      <c r="O52" s="26" t="s">
        <v>274</v>
      </c>
      <c r="P52" s="16">
        <v>48750</v>
      </c>
      <c r="S52" s="16" t="str">
        <f>IF(Q52="","",ROUND(Q52-R52,2))</f>
        <v/>
      </c>
      <c r="T52" s="25" t="s">
        <v>15</v>
      </c>
      <c r="V52" s="14" t="s">
        <v>43</v>
      </c>
      <c r="W52" s="25" t="s">
        <v>125</v>
      </c>
      <c r="X52" s="27">
        <f ca="1">IF(A52="","",IF(Y52="",TODAY()-B52,Y52-B52))</f>
        <v>23</v>
      </c>
      <c r="Z52" s="25" t="str">
        <f ca="1">IF(X52="","",IF(X52&gt;SLA_Days,"Breached",IF(X52&gt;=SLA_Days-5,"At Risk","Within SLA")))</f>
        <v>Within SLA</v>
      </c>
    </row>
    <row r="53" spans="1:28">
      <c r="A53" s="14" t="s">
        <v>285</v>
      </c>
      <c r="B53" s="24">
        <v>46281</v>
      </c>
      <c r="C53" s="24">
        <v>46276</v>
      </c>
      <c r="D53" s="14" t="s">
        <v>169</v>
      </c>
      <c r="E53" s="14" t="s">
        <v>170</v>
      </c>
      <c r="F53" s="24">
        <v>25860</v>
      </c>
      <c r="G53" s="14" t="s">
        <v>171</v>
      </c>
      <c r="H53" s="25" t="s">
        <v>87</v>
      </c>
      <c r="I53" s="25" t="s">
        <v>76</v>
      </c>
      <c r="J53" s="14" t="s">
        <v>164</v>
      </c>
      <c r="K53" s="26" t="s">
        <v>165</v>
      </c>
      <c r="L53" s="25" t="s">
        <v>79</v>
      </c>
      <c r="M53" s="25" t="s">
        <v>25</v>
      </c>
      <c r="N53" s="25" t="s">
        <v>166</v>
      </c>
      <c r="O53" s="26" t="s">
        <v>167</v>
      </c>
      <c r="P53" s="16">
        <v>6840</v>
      </c>
      <c r="S53" s="16" t="str">
        <f>IF(Q53="","",ROUND(Q53-R53,2))</f>
        <v/>
      </c>
      <c r="T53" s="25" t="s">
        <v>15</v>
      </c>
      <c r="V53" s="14" t="s">
        <v>43</v>
      </c>
      <c r="W53" s="25" t="s">
        <v>82</v>
      </c>
      <c r="X53" s="27">
        <f ca="1">IF(A53="","",IF(Y53="",TODAY()-B53,Y53-B53))</f>
        <v>23</v>
      </c>
      <c r="Z53" s="25" t="str">
        <f ca="1">IF(X53="","",IF(X53&gt;SLA_Days,"Breached",IF(X53&gt;=SLA_Days-5,"At Risk","Within SLA")))</f>
        <v>Within SLA</v>
      </c>
    </row>
    <row r="54" spans="1:28">
      <c r="A54" s="14" t="s">
        <v>286</v>
      </c>
      <c r="B54" s="24">
        <v>46281</v>
      </c>
      <c r="C54" s="24">
        <v>46265</v>
      </c>
      <c r="D54" s="14" t="s">
        <v>156</v>
      </c>
      <c r="E54" s="14" t="s">
        <v>157</v>
      </c>
      <c r="F54" s="24">
        <v>39636</v>
      </c>
      <c r="G54" s="14" t="s">
        <v>158</v>
      </c>
      <c r="H54" s="25" t="s">
        <v>104</v>
      </c>
      <c r="I54" s="25" t="s">
        <v>76</v>
      </c>
      <c r="J54" s="14" t="s">
        <v>88</v>
      </c>
      <c r="K54" s="26" t="s">
        <v>89</v>
      </c>
      <c r="L54" s="25" t="s">
        <v>97</v>
      </c>
      <c r="M54" s="25" t="s">
        <v>27</v>
      </c>
      <c r="N54" s="25" t="s">
        <v>105</v>
      </c>
      <c r="O54" s="26" t="s">
        <v>106</v>
      </c>
      <c r="P54" s="16">
        <v>6215.5</v>
      </c>
      <c r="S54" s="16" t="str">
        <f>IF(Q54="","",ROUND(Q54-R54,2))</f>
        <v/>
      </c>
      <c r="T54" s="25" t="s">
        <v>15</v>
      </c>
      <c r="V54" s="14" t="s">
        <v>43</v>
      </c>
      <c r="W54" s="25" t="s">
        <v>82</v>
      </c>
      <c r="X54" s="27">
        <f ca="1">IF(A54="","",IF(Y54="",TODAY()-B54,Y54-B54))</f>
        <v>23</v>
      </c>
      <c r="Z54" s="25" t="str">
        <f ca="1">IF(X54="","",IF(X54&gt;SLA_Days,"Breached",IF(X54&gt;=SLA_Days-5,"At Risk","Within SLA")))</f>
        <v>Within SLA</v>
      </c>
    </row>
    <row r="55" spans="1:28">
      <c r="A55" s="14" t="s">
        <v>287</v>
      </c>
      <c r="B55" s="24">
        <v>46282</v>
      </c>
      <c r="C55" s="24">
        <v>46265</v>
      </c>
      <c r="D55" s="14" t="s">
        <v>118</v>
      </c>
      <c r="E55" s="14" t="s">
        <v>119</v>
      </c>
      <c r="F55" s="24">
        <v>42515</v>
      </c>
      <c r="G55" s="14" t="s">
        <v>120</v>
      </c>
      <c r="H55" s="25" t="s">
        <v>75</v>
      </c>
      <c r="I55" s="25" t="s">
        <v>76</v>
      </c>
      <c r="J55" s="14" t="s">
        <v>77</v>
      </c>
      <c r="K55" s="26" t="s">
        <v>78</v>
      </c>
      <c r="L55" s="25" t="s">
        <v>97</v>
      </c>
      <c r="M55" s="25" t="s">
        <v>26</v>
      </c>
      <c r="N55" s="25" t="s">
        <v>80</v>
      </c>
      <c r="O55" s="26" t="s">
        <v>81</v>
      </c>
      <c r="P55" s="16">
        <v>257.72000000000003</v>
      </c>
      <c r="S55" s="16" t="str">
        <f>IF(Q55="","",ROUND(Q55-R55,2))</f>
        <v/>
      </c>
      <c r="T55" s="25" t="s">
        <v>15</v>
      </c>
      <c r="V55" s="14" t="s">
        <v>43</v>
      </c>
      <c r="W55" s="25" t="s">
        <v>82</v>
      </c>
      <c r="X55" s="27">
        <f ca="1">IF(A55="","",IF(Y55="",TODAY()-B55,Y55-B55))</f>
        <v>22</v>
      </c>
      <c r="Z55" s="25" t="str">
        <f ca="1">IF(X55="","",IF(X55&gt;SLA_Days,"Breached",IF(X55&gt;=SLA_Days-5,"At Risk","Within SLA")))</f>
        <v>Within SLA</v>
      </c>
    </row>
    <row r="56" spans="1:28">
      <c r="A56" s="14" t="s">
        <v>288</v>
      </c>
      <c r="B56" s="24">
        <v>46285</v>
      </c>
      <c r="C56" s="24">
        <v>46272</v>
      </c>
      <c r="D56" s="14" t="s">
        <v>174</v>
      </c>
      <c r="E56" s="14" t="s">
        <v>175</v>
      </c>
      <c r="F56" s="24">
        <v>43792</v>
      </c>
      <c r="G56" s="14" t="s">
        <v>176</v>
      </c>
      <c r="H56" s="25" t="s">
        <v>96</v>
      </c>
      <c r="I56" s="25" t="s">
        <v>76</v>
      </c>
      <c r="J56" s="14" t="s">
        <v>242</v>
      </c>
      <c r="K56" s="26" t="s">
        <v>243</v>
      </c>
      <c r="L56" s="25" t="s">
        <v>97</v>
      </c>
      <c r="M56" s="25" t="s">
        <v>26</v>
      </c>
      <c r="N56" s="25" t="s">
        <v>189</v>
      </c>
      <c r="O56" s="26" t="s">
        <v>190</v>
      </c>
      <c r="P56" s="16">
        <v>219.78</v>
      </c>
      <c r="S56" s="16" t="str">
        <f>IF(Q56="","",ROUND(Q56-R56,2))</f>
        <v/>
      </c>
      <c r="T56" s="25" t="s">
        <v>15</v>
      </c>
      <c r="V56" s="14" t="s">
        <v>43</v>
      </c>
      <c r="W56" s="25" t="s">
        <v>82</v>
      </c>
      <c r="X56" s="27">
        <f ca="1">IF(A56="","",IF(Y56="",TODAY()-B56,Y56-B56))</f>
        <v>19</v>
      </c>
      <c r="Z56" s="25" t="str">
        <f ca="1">IF(X56="","",IF(X56&gt;SLA_Days,"Breached",IF(X56&gt;=SLA_Days-5,"At Risk","Within SLA")))</f>
        <v>Within SLA</v>
      </c>
    </row>
    <row r="57" spans="1:28">
      <c r="A57" s="14" t="s">
        <v>289</v>
      </c>
      <c r="B57" s="24">
        <v>46285</v>
      </c>
      <c r="C57" s="24">
        <v>46271</v>
      </c>
      <c r="D57" s="14" t="s">
        <v>250</v>
      </c>
      <c r="E57" s="14" t="s">
        <v>251</v>
      </c>
      <c r="F57" s="24">
        <v>20198</v>
      </c>
      <c r="G57" s="14" t="s">
        <v>252</v>
      </c>
      <c r="H57" s="25" t="s">
        <v>104</v>
      </c>
      <c r="I57" s="25" t="s">
        <v>76</v>
      </c>
      <c r="J57" s="14" t="s">
        <v>77</v>
      </c>
      <c r="K57" s="26" t="s">
        <v>78</v>
      </c>
      <c r="L57" s="25" t="s">
        <v>97</v>
      </c>
      <c r="M57" s="25" t="s">
        <v>26</v>
      </c>
      <c r="N57" s="25" t="s">
        <v>80</v>
      </c>
      <c r="O57" s="26" t="s">
        <v>81</v>
      </c>
      <c r="P57" s="16">
        <v>276.85000000000002</v>
      </c>
      <c r="S57" s="16" t="str">
        <f>IF(Q57="","",ROUND(Q57-R57,2))</f>
        <v/>
      </c>
      <c r="T57" s="25" t="s">
        <v>15</v>
      </c>
      <c r="V57" s="14" t="s">
        <v>43</v>
      </c>
      <c r="W57" s="25" t="s">
        <v>82</v>
      </c>
      <c r="X57" s="27">
        <f ca="1">IF(A57="","",IF(Y57="",TODAY()-B57,Y57-B57))</f>
        <v>19</v>
      </c>
      <c r="Z57" s="25" t="str">
        <f ca="1">IF(X57="","",IF(X57&gt;SLA_Days,"Breached",IF(X57&gt;=SLA_Days-5,"At Risk","Within SLA")))</f>
        <v>Within SLA</v>
      </c>
    </row>
    <row r="58" spans="1:28">
      <c r="A58" s="14" t="s">
        <v>290</v>
      </c>
      <c r="B58" s="24">
        <v>46285</v>
      </c>
      <c r="C58" s="24">
        <v>46275</v>
      </c>
      <c r="D58" s="14" t="s">
        <v>182</v>
      </c>
      <c r="E58" s="14" t="s">
        <v>183</v>
      </c>
      <c r="F58" s="24">
        <v>40326</v>
      </c>
      <c r="G58" s="14" t="s">
        <v>184</v>
      </c>
      <c r="H58" s="25" t="s">
        <v>104</v>
      </c>
      <c r="I58" s="25" t="s">
        <v>76</v>
      </c>
      <c r="J58" s="14" t="s">
        <v>88</v>
      </c>
      <c r="K58" s="26" t="s">
        <v>89</v>
      </c>
      <c r="L58" s="25" t="s">
        <v>97</v>
      </c>
      <c r="M58" s="25" t="s">
        <v>27</v>
      </c>
      <c r="N58" s="25" t="s">
        <v>80</v>
      </c>
      <c r="O58" s="26" t="s">
        <v>204</v>
      </c>
      <c r="P58" s="16">
        <v>723.42</v>
      </c>
      <c r="S58" s="16" t="str">
        <f>IF(Q58="","",ROUND(Q58-R58,2))</f>
        <v/>
      </c>
      <c r="T58" s="25" t="s">
        <v>15</v>
      </c>
      <c r="V58" s="14" t="s">
        <v>43</v>
      </c>
      <c r="W58" s="25" t="s">
        <v>82</v>
      </c>
      <c r="X58" s="27">
        <f ca="1">IF(A58="","",IF(Y58="",TODAY()-B58,Y58-B58))</f>
        <v>19</v>
      </c>
      <c r="Z58" s="25" t="str">
        <f ca="1">IF(X58="","",IF(X58&gt;SLA_Days,"Breached",IF(X58&gt;=SLA_Days-5,"At Risk","Within SLA")))</f>
        <v>Within SLA</v>
      </c>
    </row>
    <row r="59" spans="1:28">
      <c r="A59" s="14" t="s">
        <v>291</v>
      </c>
      <c r="B59" s="24">
        <v>46286</v>
      </c>
      <c r="C59" s="24">
        <v>46275</v>
      </c>
      <c r="D59" s="14" t="s">
        <v>263</v>
      </c>
      <c r="E59" s="14" t="s">
        <v>264</v>
      </c>
      <c r="F59" s="24">
        <v>17586</v>
      </c>
      <c r="G59" s="14" t="s">
        <v>265</v>
      </c>
      <c r="H59" s="25" t="s">
        <v>87</v>
      </c>
      <c r="I59" s="25" t="s">
        <v>76</v>
      </c>
      <c r="J59" s="14" t="s">
        <v>112</v>
      </c>
      <c r="K59" s="26" t="s">
        <v>113</v>
      </c>
      <c r="L59" s="25" t="s">
        <v>97</v>
      </c>
      <c r="M59" s="25" t="s">
        <v>28</v>
      </c>
      <c r="N59" s="25" t="s">
        <v>130</v>
      </c>
      <c r="O59" s="26" t="s">
        <v>131</v>
      </c>
      <c r="P59" s="16">
        <v>191.84</v>
      </c>
      <c r="S59" s="16" t="str">
        <f>IF(Q59="","",ROUND(Q59-R59,2))</f>
        <v/>
      </c>
      <c r="T59" s="25" t="s">
        <v>15</v>
      </c>
      <c r="V59" s="14" t="s">
        <v>43</v>
      </c>
      <c r="W59" s="25" t="s">
        <v>125</v>
      </c>
      <c r="X59" s="27">
        <f ca="1">IF(A59="","",IF(Y59="",TODAY()-B59,Y59-B59))</f>
        <v>18</v>
      </c>
      <c r="Z59" s="25" t="str">
        <f ca="1">IF(X59="","",IF(X59&gt;SLA_Days,"Breached",IF(X59&gt;=SLA_Days-5,"At Risk","Within SLA")))</f>
        <v>Within SLA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qBotica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Claims Management Demo</dc:title>
  <dc:subject/>
  <dc:creator/>
  <cp:keywords/>
  <dc:description>Sample healthcare claims workbook with VBA macros for automation demos</dc:description>
  <cp:lastModifiedBy>Mohamed Rafiudeen</cp:lastModifiedBy>
  <cp:revision/>
  <dcterms:created xsi:type="dcterms:W3CDTF">2026-09-22T20:15:45Z</dcterms:created>
  <dcterms:modified xsi:type="dcterms:W3CDTF">2026-10-09T11:32:29Z</dcterms:modified>
  <cp:category/>
  <cp:contentStatus/>
</cp:coreProperties>
</file>